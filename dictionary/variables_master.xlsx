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afit-my.sharepoint.com/personal/rszapatav_eafit_edu_co/Documents/CIAT/Metodología Evaluaciones/surveyProcessingMethodology/dictionary/"/>
    </mc:Choice>
  </mc:AlternateContent>
  <xr:revisionPtr revIDLastSave="1480" documentId="8_{4C1B0862-69B3-42BC-8750-06EDE6596D4C}" xr6:coauthVersionLast="47" xr6:coauthVersionMax="47" xr10:uidLastSave="{7359BF6A-5E7B-4F7D-8C61-7AAA4B99B36A}"/>
  <bookViews>
    <workbookView xWindow="-28920" yWindow="-4725" windowWidth="29040" windowHeight="15720" xr2:uid="{D5E2868F-FAC0-444C-BFCE-6871238D4C9E}"/>
  </bookViews>
  <sheets>
    <sheet name="variables_master" sheetId="2" r:id="rId1"/>
    <sheet name="sections" sheetId="3" r:id="rId2"/>
    <sheet name="variables_master (2)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3" l="1"/>
  <c r="C14" i="3"/>
  <c r="C3" i="3"/>
  <c r="C4" i="3" s="1"/>
  <c r="C5" i="3" s="1"/>
  <c r="C6" i="3" s="1"/>
  <c r="C7" i="3" s="1"/>
  <c r="C8" i="3" s="1"/>
  <c r="C9" i="3" s="1"/>
  <c r="C10" i="3" s="1"/>
  <c r="C11" i="3" s="1"/>
  <c r="C12" i="3" s="1"/>
  <c r="C15" i="3" l="1"/>
  <c r="C17" i="3" s="1"/>
  <c r="C16" i="3" s="1"/>
  <c r="C18" i="3" s="1"/>
  <c r="C19" i="3" s="1"/>
  <c r="C20" i="3" s="1"/>
  <c r="C22" i="3" s="1"/>
  <c r="C23" i="3" s="1"/>
  <c r="C24" i="3" s="1"/>
  <c r="C25" i="3" s="1"/>
  <c r="C26" i="3" s="1"/>
  <c r="C27" i="3" s="1"/>
  <c r="C28" i="3" s="1"/>
  <c r="C29" i="3" s="1"/>
  <c r="C30" i="3" s="1"/>
</calcChain>
</file>

<file path=xl/sharedStrings.xml><?xml version="1.0" encoding="utf-8"?>
<sst xmlns="http://schemas.openxmlformats.org/spreadsheetml/2006/main" count="1328" uniqueCount="409">
  <si>
    <t>variable_name</t>
  </si>
  <si>
    <t>label_english</t>
  </si>
  <si>
    <t>label_spanish</t>
  </si>
  <si>
    <t>topic</t>
  </si>
  <si>
    <t>questionnaire_include</t>
  </si>
  <si>
    <t>quality_include</t>
  </si>
  <si>
    <t>quality_min</t>
  </si>
  <si>
    <t>quality_max</t>
  </si>
  <si>
    <t>quality_outlier_sd</t>
  </si>
  <si>
    <t>descriptive_include</t>
  </si>
  <si>
    <t>respondent_id</t>
  </si>
  <si>
    <t>Respondent ID</t>
  </si>
  <si>
    <t>household</t>
  </si>
  <si>
    <t>text</t>
  </si>
  <si>
    <t>Age of respondent</t>
  </si>
  <si>
    <t>Edad del encuestado</t>
  </si>
  <si>
    <t>integer</t>
  </si>
  <si>
    <t>farm</t>
  </si>
  <si>
    <t>. &gt;= 1 and . &lt;= 10</t>
  </si>
  <si>
    <t>decimal</t>
  </si>
  <si>
    <t>. &gt; 0</t>
  </si>
  <si>
    <t>select_one</t>
  </si>
  <si>
    <t>. &gt;= 1 and . &lt;= 20</t>
  </si>
  <si>
    <t>years_farming</t>
  </si>
  <si>
    <t>Years of farming experience</t>
  </si>
  <si>
    <t>area_unit</t>
  </si>
  <si>
    <t>production</t>
  </si>
  <si>
    <t>finance</t>
  </si>
  <si>
    <t>inputs</t>
  </si>
  <si>
    <t>technology</t>
  </si>
  <si>
    <t>geospatial</t>
  </si>
  <si>
    <t>interview_duration_min</t>
  </si>
  <si>
    <t>Interview duration in minutes</t>
  </si>
  <si>
    <t>enumerator_id</t>
  </si>
  <si>
    <t>Enumerator ID code</t>
  </si>
  <si>
    <t>male:Hombre|female:Mujer|other:Otro</t>
  </si>
  <si>
    <t>Años de experiencia en agricultura</t>
  </si>
  <si>
    <t>Duración de la entrevista en minutos</t>
  </si>
  <si>
    <t>Código del encuestador</t>
  </si>
  <si>
    <t>none:Ninguno|primary:Primaria|secondary:Secundaria|technical:Técnico|university:Universidad</t>
  </si>
  <si>
    <t>surv_required</t>
  </si>
  <si>
    <t>surv_relevant</t>
  </si>
  <si>
    <t>surv_constraint</t>
  </si>
  <si>
    <t>surv_constraint_message</t>
  </si>
  <si>
    <t>surv_choices</t>
  </si>
  <si>
    <t>surv_type</t>
  </si>
  <si>
    <t>surv_hint</t>
  </si>
  <si>
    <t>surv_repeat_count</t>
  </si>
  <si>
    <t>surv_calculation</t>
  </si>
  <si>
    <t>subtopic</t>
  </si>
  <si>
    <t>calculate</t>
  </si>
  <si>
    <t>testt</t>
  </si>
  <si>
    <t>test</t>
  </si>
  <si>
    <t>surv_read_only</t>
  </si>
  <si>
    <t>level</t>
  </si>
  <si>
    <t>key</t>
  </si>
  <si>
    <t>order</t>
  </si>
  <si>
    <t>Información del Hogar</t>
  </si>
  <si>
    <t>Household Information</t>
  </si>
  <si>
    <t>Farm Information</t>
  </si>
  <si>
    <t>Producción de Café</t>
  </si>
  <si>
    <t>Coffee Production</t>
  </si>
  <si>
    <t>Finanzas y Crédito</t>
  </si>
  <si>
    <t>Finance &amp; Credit</t>
  </si>
  <si>
    <t>Insumos</t>
  </si>
  <si>
    <t>Inputs</t>
  </si>
  <si>
    <t>Tecnología</t>
  </si>
  <si>
    <t>Technology Adoption</t>
  </si>
  <si>
    <t>Ubicación GPS</t>
  </si>
  <si>
    <t>GPS Location</t>
  </si>
  <si>
    <t>consent</t>
  </si>
  <si>
    <t>1:Sí | 0:No</t>
  </si>
  <si>
    <t>enc001:Encuestador 001 | enc002:Encuestador 002 | enc003:Encuestador 003</t>
  </si>
  <si>
    <t>hint</t>
  </si>
  <si>
    <t>*hint4</t>
  </si>
  <si>
    <t>*hint5</t>
  </si>
  <si>
    <t>*hint6</t>
  </si>
  <si>
    <t>*hint7</t>
  </si>
  <si>
    <t>*hint8</t>
  </si>
  <si>
    <t>*hint9</t>
  </si>
  <si>
    <t>*hint15</t>
  </si>
  <si>
    <t>*hint16</t>
  </si>
  <si>
    <t>*hint17</t>
  </si>
  <si>
    <t>*hint18</t>
  </si>
  <si>
    <t>*hint19</t>
  </si>
  <si>
    <t>*hint20</t>
  </si>
  <si>
    <t>(. &gt;= 18 and . &lt;= 100) or . = 999</t>
  </si>
  <si>
    <t>Plot level information</t>
  </si>
  <si>
    <t>Información a nivel de parcelas</t>
  </si>
  <si>
    <t>Aggregated plot-level information</t>
  </si>
  <si>
    <t>closing</t>
  </si>
  <si>
    <t>start</t>
  </si>
  <si>
    <t>timeStart</t>
  </si>
  <si>
    <t>Hora de inicio</t>
  </si>
  <si>
    <t>starting</t>
  </si>
  <si>
    <t>date</t>
  </si>
  <si>
    <t>surveyDate</t>
  </si>
  <si>
    <t>Fecha de la encuesta</t>
  </si>
  <si>
    <t>Cerrando</t>
  </si>
  <si>
    <t>Closing</t>
  </si>
  <si>
    <t>farmGeneral</t>
  </si>
  <si>
    <t>plotLoop</t>
  </si>
  <si>
    <t>farmAggregated</t>
  </si>
  <si>
    <t>Main coffee variety grown</t>
  </si>
  <si>
    <t>catuai:Catuaí­|caturra:Caturra|bourbon:Bourbon|geisha:Geisha|lempira:Lempira|ihcafe90:IHCAFE 90|pacas:Pacas|other:Otra</t>
  </si>
  <si>
    <t>Variedades de café cultivadas</t>
  </si>
  <si>
    <t>select_multiple</t>
  </si>
  <si>
    <t>varietiesPlanted</t>
  </si>
  <si>
    <t>cropManagement</t>
  </si>
  <si>
    <t>cropManagementGeneral</t>
  </si>
  <si>
    <t>cropLoop</t>
  </si>
  <si>
    <t>cropManagementAggregated</t>
  </si>
  <si>
    <t>Manejo de cultivo</t>
  </si>
  <si>
    <t>Manejo de cultivo General</t>
  </si>
  <si>
    <t>Información a nivel de cultivo</t>
  </si>
  <si>
    <t>Manejo de cultivo agregado</t>
  </si>
  <si>
    <t>count-selected(${varietiesPlanted})</t>
  </si>
  <si>
    <t>percentageOfVarietyPlanted</t>
  </si>
  <si>
    <t>percentagesum</t>
  </si>
  <si>
    <t>totalCoffeePlantsOnFarm</t>
  </si>
  <si>
    <t>¿Cuántas plantas de café tuvo sembradas en la finca para la cosecha 2023/2024?</t>
  </si>
  <si>
    <t>sum(${percentageOfVarietyPlanted})</t>
  </si>
  <si>
    <t>Suma de árboles</t>
  </si>
  <si>
    <t>related_topic</t>
  </si>
  <si>
    <t>${percentagesum}!=${totalCoffeePlantsOnFarm}</t>
  </si>
  <si>
    <t>varr</t>
  </si>
  <si>
    <t>Variedad del loop</t>
  </si>
  <si>
    <t>¿Cuál es el número de árboles de la variedad ${varr} que tuvo sembrados en su finca durante la cosecha 2023/2024?</t>
  </si>
  <si>
    <t>c_coffeePlants_plantsSum</t>
  </si>
  <si>
    <t>landNumber</t>
  </si>
  <si>
    <t>position(..)</t>
  </si>
  <si>
    <t>jr:choice-name(selected-at(${varietiesPlanted}, position(..)-1), '${varietiesPlanted}')</t>
  </si>
  <si>
    <t>El número de plantas debe ser mayor a cero</t>
  </si>
  <si>
    <t>El número de plantas total debe ser igual al número por variedad</t>
  </si>
  <si>
    <t>categorical</t>
  </si>
  <si>
    <t>dummy</t>
  </si>
  <si>
    <t>numerical</t>
  </si>
  <si>
    <t>constraint</t>
  </si>
  <si>
    <t>var_type</t>
  </si>
  <si>
    <t>baseline</t>
  </si>
  <si>
    <t>endline</t>
  </si>
  <si>
    <t>plots</t>
  </si>
  <si>
    <t>outcome_var</t>
  </si>
  <si>
    <t>control_var</t>
  </si>
  <si>
    <t>logarithm_var</t>
  </si>
  <si>
    <t>fe_var</t>
  </si>
  <si>
    <t>cluster_var</t>
  </si>
  <si>
    <t>interviewee</t>
  </si>
  <si>
    <t>Inicio de la encuesta</t>
  </si>
  <si>
    <t>Información del entrevistado</t>
  </si>
  <si>
    <t>Start of survey</t>
  </si>
  <si>
    <t>Respondent information</t>
  </si>
  <si>
    <t>Esta sección da comienzo a la encuesta</t>
  </si>
  <si>
    <t>Por favor identifique a un hombre o mujer adulta del hogar (mayor de 18 años) que conozca o esté a cargo del manejo del café, es decir, que tenga el mayor conocimiento e información sobre las actividades agrícolas en las tierras del hogar y las decisiones que se toman en los cultivos y en el hogar, para proceder con la encuesta. Si esta persona no está disponible, programe una segunda visita.</t>
  </si>
  <si>
    <t>Esta sección recolecta información sobre el productor o productora de café</t>
  </si>
  <si>
    <t>completeName</t>
  </si>
  <si>
    <t xml:space="preserve">¿Cuál es su nombre completo? </t>
  </si>
  <si>
    <t>headGender</t>
  </si>
  <si>
    <t>¿La persona entrevistada es hombre o mujer?</t>
  </si>
  <si>
    <t>DNI</t>
  </si>
  <si>
    <t>Número de identificación (DNI)</t>
  </si>
  <si>
    <t>What is your full name?</t>
  </si>
  <si>
    <t>Is the person interviewed a man or a woman?</t>
  </si>
  <si>
    <t>Identification number (DNI)</t>
  </si>
  <si>
    <t>isCoffeeProducer</t>
  </si>
  <si>
    <t>¿Es usted, o la persona en la lista, productor(a) de café?</t>
  </si>
  <si>
    <t>Are you, or the person on the list, a coffee producer?</t>
  </si>
  <si>
    <t>ID de la encuesta</t>
  </si>
  <si>
    <t>¿Consiente en proporcionar información para esta encuesta?</t>
  </si>
  <si>
    <t>Do you consent to provide information for this survey?</t>
  </si>
  <si>
    <t>timeEnd</t>
  </si>
  <si>
    <t>Hora de fin</t>
  </si>
  <si>
    <t>Start time</t>
  </si>
  <si>
    <t>end</t>
  </si>
  <si>
    <t>La edad debe estar entre 18 y 100 años</t>
  </si>
  <si>
    <t>identifyIndigenous</t>
  </si>
  <si>
    <t>¿Se considera usted parte de un grupo étnico?</t>
  </si>
  <si>
    <t>whichIndigenous</t>
  </si>
  <si>
    <t>¿A qué grupo pertenece?</t>
  </si>
  <si>
    <t>highestEducationLevel</t>
  </si>
  <si>
    <t>¿Cuál es su nivel de escolaridad?</t>
  </si>
  <si>
    <t>respondentAge</t>
  </si>
  <si>
    <t>¿Está usted casado(a) o tiene un compañero(a) permanente?</t>
  </si>
  <si>
    <t>isMarriedOrInPartnership</t>
  </si>
  <si>
    <t>Los años de experiencia deben ser menores o iguales a la edad</t>
  </si>
  <si>
    <t xml:space="preserve"> . &lt;= ${respondentAge}</t>
  </si>
  <si>
    <t>What is your level of education?</t>
  </si>
  <si>
    <t>Are you married or do you have a permanent partner?</t>
  </si>
  <si>
    <t>Do you consider yourself part of an ethnic group?</t>
  </si>
  <si>
    <t>To which group do you belong?</t>
  </si>
  <si>
    <t>single:Soltero(a)|unmarried:Unión Libre|married:Casado(a)</t>
  </si>
  <si>
    <t>${identifyIndigenous}=1</t>
  </si>
  <si>
    <t>Esta sección recolecta información sobre el hogar</t>
  </si>
  <si>
    <t>department</t>
  </si>
  <si>
    <t>¿En qué departamento se encuentra su finca?</t>
  </si>
  <si>
    <t>municipality</t>
  </si>
  <si>
    <t>¿En qué municipio se encuentra su finca?</t>
  </si>
  <si>
    <t>communityOrHamlet</t>
  </si>
  <si>
    <t>¿En qué comunidad o caserío se encuentra su finca?</t>
  </si>
  <si>
    <t>mayaChorti:Maya-Chortí|lenca:Lenca|miskito:Miskito|nahua:Nahua|pech:Pech|tolupan:Tolupán|tawahka:Tawahka|garifuna:Garífuna|other:Otro/No sé</t>
  </si>
  <si>
    <t>stabarbara:Santa Barbara|yoro:Yoro|lempira:Lempira</t>
  </si>
  <si>
    <t>iguala:La Iguala|union:La Unión|srafael:San Rafael|arada1:Arada|atima:Atima|nispero:El Níspero|sfojuera:San Francisco de Ojuera</t>
  </si>
  <si>
    <t>ig_filo:El Filo del Monte Largo|ig_lagunetas:Lagunetas|ig_rcolorado:Río Colorado|ig_srafael:San Rafael|ig_suyapa:Suyapa|cedrales:Cedrales|un_filo:El Filo del Monte Largo|un_lagunetas:Lagunetas|camoteras:Las Camoteras</t>
  </si>
  <si>
    <t>location</t>
  </si>
  <si>
    <t>family</t>
  </si>
  <si>
    <t>gpsWhere</t>
  </si>
  <si>
    <t>Dato del GPS corresponde a:</t>
  </si>
  <si>
    <t>otherGpsWhere</t>
  </si>
  <si>
    <t>Indique por favor cuál es el otro lugar</t>
  </si>
  <si>
    <t>GPS</t>
  </si>
  <si>
    <t>Coordenadas de GPS del lugar donde se realiza la entrevista</t>
  </si>
  <si>
    <t>geopoint</t>
  </si>
  <si>
    <t>selected(${gpsWhere}, 'other')</t>
  </si>
  <si>
    <t>home_farm:Casa y finca (están juntas)|home:La casa |farm:La finca|other:Otro lugar</t>
  </si>
  <si>
    <t>Ubicación del hogar</t>
  </si>
  <si>
    <t>residenceLocation</t>
  </si>
  <si>
    <t>¿Su residencia es urbana o rural?</t>
  </si>
  <si>
    <t>urbana:Urbana|rural:Rural</t>
  </si>
  <si>
    <t>Información de la familia</t>
  </si>
  <si>
    <t>Family information</t>
  </si>
  <si>
    <t>householdHasMobilePhone</t>
  </si>
  <si>
    <t>¿Usted o alguien de su hogar tiene teléfono móvil/celular?</t>
  </si>
  <si>
    <t>hasSmartphone</t>
  </si>
  <si>
    <t>¿Ese teléfono móvil/celular es un smartphone (tiene pantalla táctil)?</t>
  </si>
  <si>
    <t>hasInternetAtHome</t>
  </si>
  <si>
    <t>¿Cómo accede a internet la mayor parte del tiempo?</t>
  </si>
  <si>
    <t>usesWhatsAppForMessages</t>
  </si>
  <si>
    <t>Con ese teléfono, ¿envía y/o recibe mensajes a través de WhatsApp?</t>
  </si>
  <si>
    <t>willingToReceiveWhatsAppUpdates</t>
  </si>
  <si>
    <t>¿Estaría dispuesto a recibir actualizaciones e información sobre la iniciativa vía whatsapp?</t>
  </si>
  <si>
    <t>alternativeCommunicationMeans</t>
  </si>
  <si>
    <t>Dado que no utiliza WhatsApp, ¿cómo se comunica con su familia y amigos a través del teléfono móvil/celular?</t>
  </si>
  <si>
    <t>providePhoneNumber</t>
  </si>
  <si>
    <t>¿Podría facilitarnos un número de teléfono para comunicarnos con usted?</t>
  </si>
  <si>
    <t>${householdHasMobilePhone} =1</t>
  </si>
  <si>
    <t>${hasSmartphone} = 1</t>
  </si>
  <si>
    <t>${usesWhatsAppForMessages} =1</t>
  </si>
  <si>
    <t>${usesWhatsAppForMessages} =0</t>
  </si>
  <si>
    <t>${willingToReceiveWhatsAppUpdates} = 1</t>
  </si>
  <si>
    <t>. &gt;= 10000000 and . &lt;= 99999998 or . = 999</t>
  </si>
  <si>
    <t>Debe ingresar un número de teléfono válido. Si no desea darlo, copiar 999</t>
  </si>
  <si>
    <t>SMS:SMS|Facebook:Facebook|Instagram:Instagram|voice:Yo no mando mensajes de texto, solo hago llamadas de voz|other:Otro</t>
  </si>
  <si>
    <t>home:Tiene internet en su casa o finca |community:Sale a la comunidad para buscar señal |city:Sale a la ciudad más cercana para buscar señal |noInternet:No hace uso de internet</t>
  </si>
  <si>
    <t>*Encuestador, lea: Primero vamos a comenzar con unas preguntas generales sobre usted y su hogar, luego con preguntas sobre el cultivo de café y otros cultivos, incluyendo ventas, y terminaremos con preguntas sobre asistencia técnica, innovaciones e inclusión financiera.*</t>
  </si>
  <si>
    <t>*Encuestador, lea: Primero vamos a comenzar con unas preguntas generales sobre usted</t>
  </si>
  <si>
    <t>*Encuestador, lea: Vamos a continuar con unas preguntas generales su lugar de vivienda</t>
  </si>
  <si>
    <t>*Encuestador, lea: Vamos a continuar con unas preguntas generales su hogar. Para el siguiente conjunto de preguntas, consideramos miembros del hogar al número de personas **que habitualmente vivan, duerman y coman en una misma casa o complejo**. Esto incluye a cualquier persona ausente por menos de 3 meses, o cualquier persona que se quede por más de 3 meses.*</t>
  </si>
  <si>
    <t>worksFrequentlyAwayFromHome</t>
  </si>
  <si>
    <t xml:space="preserve">¿Usted o su pareja trabajan fuera del hogar por más de tres meses al año? </t>
  </si>
  <si>
    <t>Es decir, en un año la persona está fuera del hogar por más de tres meses consecutivos o no consecutivos.</t>
  </si>
  <si>
    <t>Conectividad</t>
  </si>
  <si>
    <t>Conectivity</t>
  </si>
  <si>
    <t>no:Vivo/vivimos en el hogar|yes_me:Trabajo en otro lugar por tres o más meses en el año|yes_spouse:Mi cónyuge trabaja en otro lugar por tres o más meses en el año|yes_both:Mi cónyuge y yo trabajamos en otro lugar por tres o más meses en el año</t>
  </si>
  <si>
    <t>numberOfPeopleInHousehold</t>
  </si>
  <si>
    <t>Incluyéndose a usted, ¿cuántas personas en total viven en este hogar de manera permanente?</t>
  </si>
  <si>
    <t>receiveMoney</t>
  </si>
  <si>
    <t>¿Algún miembro de su hogar recibe remesas actualmente?</t>
  </si>
  <si>
    <t>familyWomen</t>
  </si>
  <si>
    <t>De las ${numberOfPeopleInHousehold} personas que viven en su hogar, ¿cuántas son mujeres?</t>
  </si>
  <si>
    <t>typeOfHousingOccupied</t>
  </si>
  <si>
    <t xml:space="preserve">La vivienda que ocupa actualmente este hogar es: </t>
  </si>
  <si>
    <t>otherPropertyType</t>
  </si>
  <si>
    <t>Especificar otro tipo de propiedad</t>
  </si>
  <si>
    <t>ceilingMaterial</t>
  </si>
  <si>
    <t>¿El techo de la vivienda es de teja o de cemento/concreto?</t>
  </si>
  <si>
    <t>householdHasPipedWater</t>
  </si>
  <si>
    <t>Su vivienda, ¿tiene agua que llega por tubería?</t>
  </si>
  <si>
    <t>householdConnectedToElectricity</t>
  </si>
  <si>
    <t>Su vivienda, ¿está la conectada a la red de electricidad?</t>
  </si>
  <si>
    <t>El hogar debe tener entre 1 y hasta 20 personas</t>
  </si>
  <si>
    <t>.&lt;=${numberOfPeopleInHousehold}</t>
  </si>
  <si>
    <t>El número de mujeres debe ser menor o igual al número de personas que viven en el hogar.</t>
  </si>
  <si>
    <t>propia:Propia|alquilada:Alquilada|familiar:De un familiar|prestada:Prestada|other:Otra</t>
  </si>
  <si>
    <t>${typeOfHousingOccupied} = 'other'</t>
  </si>
  <si>
    <t>conectivity</t>
  </si>
  <si>
    <t>ownTV</t>
  </si>
  <si>
    <t>¿Tiene televisión en casa?</t>
  </si>
  <si>
    <t>In which department is your farm located?</t>
  </si>
  <si>
    <t>In which municipality is your farm located?</t>
  </si>
  <si>
    <t>In which community or hamlet is your farm located?</t>
  </si>
  <si>
    <t>GPS coordinates of the interview location</t>
  </si>
  <si>
    <t>The GPS data corresponds to:</t>
  </si>
  <si>
    <t>Please specify the other location</t>
  </si>
  <si>
    <t>Is your residence urban or rural?</t>
  </si>
  <si>
    <t>Do you or your partner work away from home for more than three months a year?</t>
  </si>
  <si>
    <t>Including yourself, how many people in total live in this household permanently?</t>
  </si>
  <si>
    <t>Does any member of your household currently receive remittances?</t>
  </si>
  <si>
    <t>Of the ${numberOfPeopleInHousehold} people living in your household, how many are women?</t>
  </si>
  <si>
    <t>The dwelling currently occupied by this household is:</t>
  </si>
  <si>
    <t>Specify other type of property</t>
  </si>
  <si>
    <t>Is the roof of the dwelling made of tile or cement/concrete?</t>
  </si>
  <si>
    <t>Does your home have piped water?</t>
  </si>
  <si>
    <t>Is your home connected to the electricity grid?</t>
  </si>
  <si>
    <t>Do you have a television at home?</t>
  </si>
  <si>
    <t>Do you or anyone in your household have a mobile phone?</t>
  </si>
  <si>
    <t>Is that mobile phone a smartphone (does it have a touchscreen)?</t>
  </si>
  <si>
    <t>How do you access the internet most of the time?</t>
  </si>
  <si>
    <t>Do you send and/or receive WhatsApp messages using that phone?</t>
  </si>
  <si>
    <t>Would you be willing to receive updates and information about the initiative via WhatsApp?</t>
  </si>
  <si>
    <t>Since you do not use WhatsApp, how do you communicate with your family and friends via mobile phone?</t>
  </si>
  <si>
    <t>Could you provide a phone number so we can contact you?</t>
  </si>
  <si>
    <t>*Encuestador, lea: Ahora me gustaría hacerle preguntas sobre su finca y la actividad agrícola que realiza.*</t>
  </si>
  <si>
    <t>Información de la Finca</t>
  </si>
  <si>
    <t>numberOfLands</t>
  </si>
  <si>
    <t>${numberOfLands}</t>
  </si>
  <si>
    <t>Número de parcelas que posee o administra</t>
  </si>
  <si>
    <t>Área total de la parcela número ${landNumber}</t>
  </si>
  <si>
    <t>Unidad utilizada para medir el área de la parcela ${landNumber}</t>
  </si>
  <si>
    <t>vr:Varas|mz:Manzanas|hectare:Hectáreas|tarea:Tareas|metros2:Metros cuadrados|other:Otros</t>
  </si>
  <si>
    <t>*Encuestador, lea: Esto incluye todos los terrenos que manejaron en el hogar, cerca o lejos de su casa, propios, prestados o alquilados.*</t>
  </si>
  <si>
    <t>totalFarmArea_ha</t>
  </si>
  <si>
    <t>El área total debe ser mayor que 0</t>
  </si>
  <si>
    <t>area_unit_label</t>
  </si>
  <si>
    <t>if(${area_unit}='vr', 'Varas', if(${area_unit}='mz', 'Manzanas', if(${area_unit}='hectare', 'Hectáreas', if(${area_unit}='tarea', 'Tareas', if(${area_unit}='metros2', 'Metros cuadrados', 'Otros')))))</t>
  </si>
  <si>
    <t>Etiqueta de unidad de área</t>
  </si>
  <si>
    <t>area_unit_other</t>
  </si>
  <si>
    <t>${area_unit} = 'other'</t>
  </si>
  <si>
    <t>Otra unidad de área</t>
  </si>
  <si>
    <t>Área total de la parcela número ${landNumber} destinada a la agricultura</t>
  </si>
  <si>
    <t>Área total de la parcela número ${landNumber} destinada a la agricultura, en hectáreas</t>
  </si>
  <si>
    <t>Área total de la parcela ${landNumber}, en hectáreas</t>
  </si>
  <si>
    <t>*Encuestador, lea: esto incluye área productiva e improductiva</t>
  </si>
  <si>
    <t>Área total de la parcela número ${landNumber} destinada al cultivo de café</t>
  </si>
  <si>
    <t>Área total de la parcela número ${landNumber} destinada al cultivo de café, en hectáreas</t>
  </si>
  <si>
    <t>*Encuestador, lea: vamos a continuar con información a nivel de parcela</t>
  </si>
  <si>
    <t>*Encuestador, lea: vamos a continuar con información a nivel de la finca</t>
  </si>
  <si>
    <t>Información a nivel de finca</t>
  </si>
  <si>
    <t>Suma área total de la finca, en hectáreas</t>
  </si>
  <si>
    <t>Suma área agrícola total, en hectáreas</t>
  </si>
  <si>
    <t>El área debe ser mayor que 0</t>
  </si>
  <si>
    <t>El área debe ser mayor que 0 y menor o igual que el área total de la finca</t>
  </si>
  <si>
    <t>. &gt; 0 and . &lt;= ${totalFarmArea_ha}</t>
  </si>
  <si>
    <t>agricultureFarmArea_ha</t>
  </si>
  <si>
    <t>coffeeFarmArea_ha</t>
  </si>
  <si>
    <t>. &gt; 0 and . &lt;= ${agricultureFarmArea_ha}</t>
  </si>
  <si>
    <t>totalPlotArea</t>
  </si>
  <si>
    <t>totalPlotArea_ha</t>
  </si>
  <si>
    <t>agriculturePlotArea</t>
  </si>
  <si>
    <t>. &lt;= ${totalPlotArea}</t>
  </si>
  <si>
    <t>agriculturePlotArea_ha</t>
  </si>
  <si>
    <t>. &lt;= ${totalPlotArea_ha}</t>
  </si>
  <si>
    <t>coffeePlotArea</t>
  </si>
  <si>
    <t>. &lt;= ${agriculturePlotArea}</t>
  </si>
  <si>
    <t>coffeePlotArea_ha</t>
  </si>
  <si>
    <t>. &lt;= ${agriculturePlotArea_ha}</t>
  </si>
  <si>
    <t>sum(${totalPlotArea_ha})</t>
  </si>
  <si>
    <t>sum(${agriculturePlotArea_ha})</t>
  </si>
  <si>
    <t>sum(${coffeePlotArea_ha})</t>
  </si>
  <si>
    <t>cons_totalArea_agricultureArea</t>
  </si>
  <si>
    <t>El área total de la finca no puede ser menor que el área agrícola</t>
  </si>
  <si>
    <t>Por favor corregir</t>
  </si>
  <si>
    <t>${agricultureFarmArea_ha} &gt; ${totalFarmArea_ha}</t>
  </si>
  <si>
    <t>cons_agricultureArea_coffeeArea</t>
  </si>
  <si>
    <t>El área utilizada en agricultura no puede ser menor que el área sembrada de café</t>
  </si>
  <si>
    <t>${coffeeFarmArea_ha} &gt; ${agricultureFarmArea_ha}</t>
  </si>
  <si>
    <t>cons_totalArea_coffeeArea</t>
  </si>
  <si>
    <t>El área total no puede ser menor que el área sembrada de café</t>
  </si>
  <si>
    <t>crops</t>
  </si>
  <si>
    <t>Información de cultivos</t>
  </si>
  <si>
    <t>Crops information</t>
  </si>
  <si>
    <t>farmTerrainCharacteristics</t>
  </si>
  <si>
    <t>¿Su finca, es en su mayoría plana, con pendientes suaves o con pendientes muy fuertes?</t>
  </si>
  <si>
    <t>otherCropsCultivated</t>
  </si>
  <si>
    <t>Aparte de café, ¿qué otros cultivos sembró en su finca durante la cosecha 2023/2024?</t>
  </si>
  <si>
    <t>specifyFirstAdditionalCrop</t>
  </si>
  <si>
    <t>Especificar otro cultivo  ##1</t>
  </si>
  <si>
    <t>specifySecondAdditionalCrop</t>
  </si>
  <si>
    <t>Especificar otro cultivo  ##2</t>
  </si>
  <si>
    <t>specifyThirdAdditionalCrop</t>
  </si>
  <si>
    <t>Especificar otro cultivo  ##3</t>
  </si>
  <si>
    <t>flat:Plano|slope:Mediana pendiente|steep_slope:Mucha pendiente|no_answer:Sin respuesta|</t>
  </si>
  <si>
    <t>El número de parcelas debe estar entre 1 y 10. Si hay más de 10 Plotas, por favor juntar las faltantes en la décima</t>
  </si>
  <si>
    <t>parcela número</t>
  </si>
  <si>
    <t>vegetables:Vegetales|platano:Plátano|fruits:Fruta (diferente de plátano)|avocado:Aguacate|Cassava:Yuca|Chili:Chile|field_beans:Frijol|Maize:Maíz|Rice:Arroz|squash:Calabaza|Sugarcane:Caña de azúcar|tobacco:Tabaco|tomato:Tomate|other1:Otro 1|other2:Otro 2|other3:Otro 3|no_answer:Ninguno</t>
  </si>
  <si>
    <t>not(selected(., 'no_answer') and (selected(.,'flat') or selected(.,'slope') or selected(.,'steep_slope')))</t>
  </si>
  <si>
    <t>Si selecciona 'Sin respuesta', no puede elegir otras opciones.</t>
  </si>
  <si>
    <t>not(selected(${otherCropsCultivated}, 'no_answer') and count-selected(${otherCropsCultivated})&gt;1)</t>
  </si>
  <si>
    <t>Si selecciona 'Ninguno', no puede elegir otras opciones.</t>
  </si>
  <si>
    <t>selected(${otherCropsCultivated}, 'other1')</t>
  </si>
  <si>
    <t>selected(${otherCropsCultivated}, 'other2')</t>
  </si>
  <si>
    <t>selected(${otherCropsCultivated}, 'other3')</t>
  </si>
  <si>
    <t>Is your farm mostly flat, gently sloping, or steeply sloped?</t>
  </si>
  <si>
    <t>Number of plots owned or managed</t>
  </si>
  <si>
    <t>Plot number</t>
  </si>
  <si>
    <t>Total area of ​​plot number ${landNumber}</t>
  </si>
  <si>
    <t>Unit used to measure the area of ​​plot ${landNumber}</t>
  </si>
  <si>
    <t>Other area unit</t>
  </si>
  <si>
    <t>Area unit label</t>
  </si>
  <si>
    <t>Total area of ​​plot ${landNumber}, in hectares</t>
  </si>
  <si>
    <t>Total area of ​​plot number ${landNumber} dedicated to agriculture</t>
  </si>
  <si>
    <t>Total area of ​​plot number ${landNumber} dedicated to agriculture, in hectares</t>
  </si>
  <si>
    <t>Total area of ​​plot number ${landNumber} dedicated to coffee cultivation</t>
  </si>
  <si>
    <t>Total area of ​​plot number ${landNumber} dedicated to coffee cultivation, in hectares</t>
  </si>
  <si>
    <t>Total farm area, in hectares</t>
  </si>
  <si>
    <t>Total agricultural area, in hectares</t>
  </si>
  <si>
    <t>The total farm area cannot be less than the agricultural area.</t>
  </si>
  <si>
    <t>The total area cannot be less than the area planted with coffee.</t>
  </si>
  <si>
    <t>The area used for agriculture cannot be less than the area planted with coffee.</t>
  </si>
  <si>
    <t>Besides coffee, what other crops did you plant on your farm during the 2023/2024 harvest?</t>
  </si>
  <si>
    <t>Specify other crop #1</t>
  </si>
  <si>
    <t>Specify other crop #2</t>
  </si>
  <si>
    <t>Specify other crop #3</t>
  </si>
  <si>
    <t>${coffeeFarmArea_ha} &gt; ${totalFarmArea_ha}</t>
  </si>
  <si>
    <t>if(${area_unit}='ha', ${totalPlotArea}, if(${area_unit}='manzana', ${totalPlotArea}*0.7, if(${area_unit}='vara', ${totalPlotArea}*0.000070258205,  if(${area_unit}='tarea', ${totalPlotArea}*0.06288,if(${area_unit}='metros2', ${totalPlotArea}*10000, ${totalPlotArea}*1)))))</t>
  </si>
  <si>
    <t>if(${area_unit}='ha', ${agriculturePlotArea}, if(${area_unit}='manzana', ${agriculturePlotArea}*0.7, if(${area_unit}='vara', ${agriculturePlotArea}*0.000070258205,  if(${area_unit}='tarea', ${agriculturePlotArea}*0.06288,if(${area_unit}='metros2', ${agriculturePlotArea}*10000, ${agriculturePlotArea}*1)))))</t>
  </si>
  <si>
    <t>if(${area_unit}='ha', ${coffeePlotArea}, if(${area_unit}='manzana', ${coffeePlotArea}*0.7, if(${area_unit}='vara', ${coffeePlotArea}*0.000070258205,  if(${area_unit}='tarea', ${coffeePlotArea}*0.06288,if(${area_unit}='metros2', ${coffeePlotArea}*10000, ${coffeePlotArea}*1)))))</t>
  </si>
  <si>
    <t>El área de agricultura debe ser menor o igual al área total</t>
  </si>
  <si>
    <t>El área sembrada de café debe ser menor o igual al área de agricultura</t>
  </si>
  <si>
    <t>*Encuestador, lea: Es decir, el área que se usó para sus cultivos y criar animales durante el último ciclo productivo. Esto incluye todos los terrenos donde haya cultivos o potreros (pasturas), cerca o lejos de su casa, propios, prestados o alquilados.*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</si>
</sst>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"/>
      <family val="2"/>
    </font>
    <font>
      <sz val="11"/>
      <color rgb="FF00B05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0" fontId="13" fillId="33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8" fillId="0" borderId="0" xfId="0" applyFont="1"/>
    <xf numFmtId="0" fontId="14" fillId="0" borderId="0" xfId="0" applyFont="1"/>
    <xf numFmtId="0" fontId="21" fillId="0" borderId="0" xfId="0" applyFont="1"/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3" fillId="36" borderId="0" xfId="0" applyFont="1" applyFill="1" applyAlignment="1">
      <alignment horizontal="center"/>
    </xf>
    <xf numFmtId="0" fontId="19" fillId="37" borderId="0" xfId="0" applyFont="1" applyFill="1" applyAlignment="1">
      <alignment horizontal="center"/>
    </xf>
    <xf numFmtId="0" fontId="13" fillId="38" borderId="0" xfId="0" applyFont="1" applyFill="1" applyAlignment="1">
      <alignment horizontal="center"/>
    </xf>
    <xf numFmtId="0" fontId="13" fillId="39" borderId="0" xfId="0" applyFont="1" applyFill="1" applyAlignment="1">
      <alignment horizontal="center"/>
    </xf>
    <xf numFmtId="0" fontId="19" fillId="40" borderId="0" xfId="0" applyFont="1" applyFill="1" applyAlignment="1">
      <alignment horizontal="center"/>
    </xf>
    <xf numFmtId="0" fontId="0" fillId="0" borderId="10" xfId="0" applyBorder="1"/>
    <xf numFmtId="0" fontId="14" fillId="0" borderId="10" xfId="0" applyFont="1" applyBorder="1"/>
    <xf numFmtId="0" fontId="0" fillId="0" borderId="0" xfId="0" applyAlignment="1">
      <alignment vertical="center"/>
    </xf>
    <xf numFmtId="0" fontId="22" fillId="0" borderId="0" xfId="0" applyFont="1"/>
    <xf numFmtId="0" fontId="18" fillId="0" borderId="10" xfId="0" applyFont="1" applyBorder="1"/>
    <xf numFmtId="0" fontId="22" fillId="0" borderId="10" xfId="0" applyFont="1" applyBorder="1"/>
    <xf numFmtId="0" fontId="23" fillId="0" borderId="0" xfId="0" applyFont="1" applyAlignment="1">
      <alignment vertical="center"/>
    </xf>
    <xf numFmtId="0" fontId="2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D0170-56BF-40AD-B5DE-47C0DB191985}">
  <dimension ref="A1:AD62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14" sqref="B14"/>
    </sheetView>
  </sheetViews>
  <sheetFormatPr defaultRowHeight="15" x14ac:dyDescent="0.25"/>
  <cols>
    <col min="1" max="1" width="18.140625" customWidth="1"/>
    <col min="2" max="2" width="16" customWidth="1"/>
    <col min="3" max="3" width="25.28515625" customWidth="1"/>
    <col min="4" max="4" width="12.5703125" customWidth="1"/>
    <col min="5" max="5" width="23" customWidth="1"/>
    <col min="6" max="6" width="17" customWidth="1"/>
    <col min="7" max="7" width="21.42578125" customWidth="1"/>
    <col min="8" max="8" width="14.28515625" customWidth="1"/>
    <col min="9" max="10" width="15.7109375" customWidth="1"/>
    <col min="11" max="11" width="14.42578125" customWidth="1"/>
    <col min="12" max="12" width="14.140625" customWidth="1"/>
    <col min="13" max="13" width="16.42578125" customWidth="1"/>
    <col min="14" max="14" width="21.42578125" customWidth="1"/>
    <col min="15" max="15" width="35.5703125" customWidth="1"/>
    <col min="16" max="16" width="18.5703125" customWidth="1"/>
    <col min="17" max="17" width="14.5703125" bestFit="1" customWidth="1"/>
    <col min="18" max="18" width="15" customWidth="1"/>
    <col min="19" max="19" width="11.42578125" bestFit="1" customWidth="1"/>
    <col min="20" max="20" width="11.7109375" bestFit="1" customWidth="1"/>
    <col min="21" max="21" width="17.28515625" bestFit="1" customWidth="1"/>
    <col min="22" max="22" width="19" bestFit="1" customWidth="1"/>
    <col min="26" max="26" width="12.5703125" bestFit="1" customWidth="1"/>
    <col min="27" max="27" width="11" bestFit="1" customWidth="1"/>
    <col min="28" max="28" width="13.28515625" bestFit="1" customWidth="1"/>
    <col min="29" max="29" width="10.42578125" customWidth="1"/>
    <col min="30" max="30" width="13.5703125" bestFit="1" customWidth="1"/>
  </cols>
  <sheetData>
    <row r="1" spans="1:30" s="2" customFormat="1" x14ac:dyDescent="0.25">
      <c r="A1" s="6" t="s">
        <v>3</v>
      </c>
      <c r="B1" s="6" t="s">
        <v>49</v>
      </c>
      <c r="C1" s="6" t="s">
        <v>0</v>
      </c>
      <c r="D1" s="6" t="s">
        <v>138</v>
      </c>
      <c r="E1" s="6" t="s">
        <v>2</v>
      </c>
      <c r="F1" s="6" t="s">
        <v>1</v>
      </c>
      <c r="G1" s="7" t="s">
        <v>4</v>
      </c>
      <c r="H1" s="7" t="s">
        <v>45</v>
      </c>
      <c r="I1" s="7" t="s">
        <v>46</v>
      </c>
      <c r="J1" s="7" t="s">
        <v>44</v>
      </c>
      <c r="K1" s="7" t="s">
        <v>40</v>
      </c>
      <c r="L1" s="7" t="s">
        <v>41</v>
      </c>
      <c r="M1" s="7" t="s">
        <v>42</v>
      </c>
      <c r="N1" s="7" t="s">
        <v>43</v>
      </c>
      <c r="O1" s="7" t="s">
        <v>48</v>
      </c>
      <c r="P1" s="7" t="s">
        <v>47</v>
      </c>
      <c r="Q1" s="7" t="s">
        <v>53</v>
      </c>
      <c r="R1" s="8" t="s">
        <v>5</v>
      </c>
      <c r="S1" s="8" t="s">
        <v>6</v>
      </c>
      <c r="T1" s="8" t="s">
        <v>7</v>
      </c>
      <c r="U1" s="8" t="s">
        <v>8</v>
      </c>
      <c r="V1" s="9" t="s">
        <v>9</v>
      </c>
      <c r="W1" s="10" t="s">
        <v>139</v>
      </c>
      <c r="X1" s="10" t="s">
        <v>140</v>
      </c>
      <c r="Y1" s="11" t="s">
        <v>141</v>
      </c>
      <c r="Z1" s="12" t="s">
        <v>142</v>
      </c>
      <c r="AA1" s="12" t="s">
        <v>143</v>
      </c>
      <c r="AB1" s="12" t="s">
        <v>144</v>
      </c>
      <c r="AC1" s="12" t="s">
        <v>145</v>
      </c>
      <c r="AD1" s="12" t="s">
        <v>146</v>
      </c>
    </row>
    <row r="2" spans="1:30" x14ac:dyDescent="0.25">
      <c r="A2" t="s">
        <v>94</v>
      </c>
      <c r="B2" t="s">
        <v>94</v>
      </c>
      <c r="C2" t="s">
        <v>96</v>
      </c>
      <c r="D2" t="s">
        <v>95</v>
      </c>
      <c r="E2" t="s">
        <v>97</v>
      </c>
      <c r="F2" t="s">
        <v>97</v>
      </c>
      <c r="G2" s="16">
        <v>1</v>
      </c>
      <c r="H2" s="3" t="s">
        <v>95</v>
      </c>
      <c r="K2">
        <v>1</v>
      </c>
      <c r="R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5">
      <c r="A3" t="s">
        <v>94</v>
      </c>
      <c r="B3" t="s">
        <v>94</v>
      </c>
      <c r="C3" t="s">
        <v>92</v>
      </c>
      <c r="D3" t="s">
        <v>95</v>
      </c>
      <c r="E3" t="s">
        <v>93</v>
      </c>
      <c r="F3" t="s">
        <v>172</v>
      </c>
      <c r="G3" s="16">
        <v>1</v>
      </c>
      <c r="H3" t="s">
        <v>91</v>
      </c>
      <c r="K3">
        <v>1</v>
      </c>
      <c r="R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5">
      <c r="A4" t="s">
        <v>94</v>
      </c>
      <c r="B4" t="s">
        <v>94</v>
      </c>
      <c r="C4" t="s">
        <v>33</v>
      </c>
      <c r="D4" t="s">
        <v>134</v>
      </c>
      <c r="E4" t="s">
        <v>38</v>
      </c>
      <c r="F4" t="s">
        <v>34</v>
      </c>
      <c r="G4" s="16">
        <v>1</v>
      </c>
      <c r="H4" t="s">
        <v>21</v>
      </c>
      <c r="J4" t="s">
        <v>72</v>
      </c>
      <c r="K4">
        <v>1</v>
      </c>
      <c r="R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5">
      <c r="A5" t="s">
        <v>94</v>
      </c>
      <c r="B5" t="s">
        <v>94</v>
      </c>
      <c r="C5" t="s">
        <v>10</v>
      </c>
      <c r="D5" t="s">
        <v>13</v>
      </c>
      <c r="E5" t="s">
        <v>167</v>
      </c>
      <c r="F5" t="s">
        <v>11</v>
      </c>
      <c r="G5" s="16">
        <v>1</v>
      </c>
      <c r="H5" t="s">
        <v>13</v>
      </c>
      <c r="K5">
        <v>1</v>
      </c>
      <c r="R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s="13" customFormat="1" x14ac:dyDescent="0.25">
      <c r="A6" s="13" t="s">
        <v>94</v>
      </c>
      <c r="B6" s="13" t="s">
        <v>94</v>
      </c>
      <c r="C6" s="13" t="s">
        <v>70</v>
      </c>
      <c r="D6" s="13" t="s">
        <v>135</v>
      </c>
      <c r="E6" s="17" t="s">
        <v>168</v>
      </c>
      <c r="F6" s="13" t="s">
        <v>169</v>
      </c>
      <c r="G6" s="18">
        <v>1</v>
      </c>
      <c r="H6" s="13" t="s">
        <v>21</v>
      </c>
      <c r="J6" s="13" t="s">
        <v>71</v>
      </c>
      <c r="K6" s="13">
        <v>1</v>
      </c>
      <c r="R6" s="13">
        <v>0</v>
      </c>
      <c r="V6" s="13">
        <v>0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</row>
    <row r="7" spans="1:30" x14ac:dyDescent="0.25">
      <c r="A7" t="s">
        <v>147</v>
      </c>
      <c r="B7" t="s">
        <v>147</v>
      </c>
      <c r="C7" s="3" t="s">
        <v>155</v>
      </c>
      <c r="D7" t="s">
        <v>13</v>
      </c>
      <c r="E7" s="3" t="s">
        <v>156</v>
      </c>
      <c r="F7" t="s">
        <v>161</v>
      </c>
      <c r="G7">
        <v>1</v>
      </c>
      <c r="H7" t="s">
        <v>13</v>
      </c>
      <c r="K7">
        <v>1</v>
      </c>
      <c r="R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0" x14ac:dyDescent="0.25">
      <c r="A8" t="s">
        <v>147</v>
      </c>
      <c r="B8" t="s">
        <v>147</v>
      </c>
      <c r="C8" s="3" t="s">
        <v>157</v>
      </c>
      <c r="D8" t="s">
        <v>134</v>
      </c>
      <c r="E8" s="15" t="s">
        <v>158</v>
      </c>
      <c r="F8" t="s">
        <v>162</v>
      </c>
      <c r="G8">
        <v>1</v>
      </c>
      <c r="H8" t="s">
        <v>21</v>
      </c>
      <c r="J8" t="s">
        <v>35</v>
      </c>
      <c r="K8">
        <v>1</v>
      </c>
      <c r="R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x14ac:dyDescent="0.25">
      <c r="A9" t="s">
        <v>147</v>
      </c>
      <c r="B9" t="s">
        <v>147</v>
      </c>
      <c r="C9" s="3" t="s">
        <v>159</v>
      </c>
      <c r="D9" t="s">
        <v>136</v>
      </c>
      <c r="E9" s="15" t="s">
        <v>160</v>
      </c>
      <c r="F9" t="s">
        <v>163</v>
      </c>
      <c r="G9">
        <v>1</v>
      </c>
      <c r="H9" t="s">
        <v>16</v>
      </c>
      <c r="K9">
        <v>1</v>
      </c>
      <c r="R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x14ac:dyDescent="0.25">
      <c r="A10" t="s">
        <v>147</v>
      </c>
      <c r="B10" t="s">
        <v>147</v>
      </c>
      <c r="C10" t="s">
        <v>181</v>
      </c>
      <c r="D10" t="s">
        <v>136</v>
      </c>
      <c r="E10" t="s">
        <v>15</v>
      </c>
      <c r="F10" t="s">
        <v>14</v>
      </c>
      <c r="G10">
        <v>1</v>
      </c>
      <c r="H10" t="s">
        <v>16</v>
      </c>
      <c r="K10">
        <v>1</v>
      </c>
      <c r="M10" t="s">
        <v>86</v>
      </c>
      <c r="N10" t="s">
        <v>174</v>
      </c>
      <c r="R10">
        <v>0</v>
      </c>
      <c r="S10">
        <v>18</v>
      </c>
      <c r="T10">
        <v>100</v>
      </c>
      <c r="U10">
        <v>3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5">
      <c r="A11" t="s">
        <v>147</v>
      </c>
      <c r="B11" t="s">
        <v>147</v>
      </c>
      <c r="C11" s="3" t="s">
        <v>179</v>
      </c>
      <c r="D11" t="s">
        <v>134</v>
      </c>
      <c r="E11" s="15" t="s">
        <v>180</v>
      </c>
      <c r="F11" t="s">
        <v>186</v>
      </c>
      <c r="G11">
        <v>1</v>
      </c>
      <c r="H11" t="s">
        <v>21</v>
      </c>
      <c r="J11" t="s">
        <v>39</v>
      </c>
      <c r="K11">
        <v>1</v>
      </c>
      <c r="R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x14ac:dyDescent="0.25">
      <c r="A12" t="s">
        <v>147</v>
      </c>
      <c r="B12" t="s">
        <v>147</v>
      </c>
      <c r="C12" s="3" t="s">
        <v>183</v>
      </c>
      <c r="D12" t="s">
        <v>134</v>
      </c>
      <c r="E12" s="3" t="s">
        <v>182</v>
      </c>
      <c r="F12" t="s">
        <v>187</v>
      </c>
      <c r="G12">
        <v>1</v>
      </c>
      <c r="H12" t="s">
        <v>21</v>
      </c>
      <c r="J12" t="s">
        <v>190</v>
      </c>
      <c r="K12">
        <v>1</v>
      </c>
      <c r="R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25">
      <c r="A13" t="s">
        <v>147</v>
      </c>
      <c r="B13" t="s">
        <v>147</v>
      </c>
      <c r="C13" s="3" t="s">
        <v>175</v>
      </c>
      <c r="D13" t="s">
        <v>135</v>
      </c>
      <c r="E13" s="3" t="s">
        <v>176</v>
      </c>
      <c r="F13" t="s">
        <v>188</v>
      </c>
      <c r="G13">
        <v>1</v>
      </c>
      <c r="H13" t="s">
        <v>21</v>
      </c>
      <c r="J13" t="s">
        <v>71</v>
      </c>
      <c r="K13">
        <v>1</v>
      </c>
      <c r="R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25">
      <c r="A14" t="s">
        <v>147</v>
      </c>
      <c r="B14" t="s">
        <v>147</v>
      </c>
      <c r="C14" s="3" t="s">
        <v>177</v>
      </c>
      <c r="D14" t="s">
        <v>13</v>
      </c>
      <c r="E14" s="3" t="s">
        <v>178</v>
      </c>
      <c r="F14" t="s">
        <v>189</v>
      </c>
      <c r="G14">
        <v>1</v>
      </c>
      <c r="H14" t="s">
        <v>21</v>
      </c>
      <c r="J14" t="s">
        <v>199</v>
      </c>
      <c r="K14">
        <v>1</v>
      </c>
      <c r="L14" t="s">
        <v>191</v>
      </c>
      <c r="R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25">
      <c r="A15" t="s">
        <v>147</v>
      </c>
      <c r="B15" t="s">
        <v>147</v>
      </c>
      <c r="C15" s="3" t="s">
        <v>164</v>
      </c>
      <c r="D15" t="s">
        <v>135</v>
      </c>
      <c r="E15" s="3" t="s">
        <v>165</v>
      </c>
      <c r="F15" t="s">
        <v>166</v>
      </c>
      <c r="G15">
        <v>1</v>
      </c>
      <c r="H15" t="s">
        <v>21</v>
      </c>
      <c r="J15" t="s">
        <v>71</v>
      </c>
      <c r="K15">
        <v>1</v>
      </c>
      <c r="R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s="13" customFormat="1" x14ac:dyDescent="0.25">
      <c r="A16" s="13" t="s">
        <v>147</v>
      </c>
      <c r="B16" s="13" t="s">
        <v>147</v>
      </c>
      <c r="C16" s="13" t="s">
        <v>23</v>
      </c>
      <c r="D16" s="13" t="s">
        <v>136</v>
      </c>
      <c r="E16" s="13" t="s">
        <v>36</v>
      </c>
      <c r="F16" s="13" t="s">
        <v>24</v>
      </c>
      <c r="G16" s="13">
        <v>1</v>
      </c>
      <c r="H16" s="13" t="s">
        <v>16</v>
      </c>
      <c r="K16" s="13">
        <v>1</v>
      </c>
      <c r="M16" s="13" t="s">
        <v>185</v>
      </c>
      <c r="N16" s="13" t="s">
        <v>184</v>
      </c>
      <c r="R16" s="13">
        <v>0</v>
      </c>
      <c r="S16" s="13">
        <v>0</v>
      </c>
      <c r="T16" s="13">
        <v>100</v>
      </c>
      <c r="U16" s="13">
        <v>3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</row>
    <row r="17" spans="1:30" x14ac:dyDescent="0.25">
      <c r="A17" t="s">
        <v>12</v>
      </c>
      <c r="B17" t="s">
        <v>203</v>
      </c>
      <c r="C17" t="s">
        <v>193</v>
      </c>
      <c r="D17" t="s">
        <v>134</v>
      </c>
      <c r="E17" t="s">
        <v>194</v>
      </c>
      <c r="F17" t="s">
        <v>277</v>
      </c>
      <c r="G17" s="3">
        <v>1</v>
      </c>
      <c r="H17" t="s">
        <v>21</v>
      </c>
      <c r="J17" t="s">
        <v>200</v>
      </c>
      <c r="K17">
        <v>1</v>
      </c>
      <c r="R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25">
      <c r="A18" t="s">
        <v>12</v>
      </c>
      <c r="B18" t="s">
        <v>203</v>
      </c>
      <c r="C18" t="s">
        <v>195</v>
      </c>
      <c r="D18" t="s">
        <v>134</v>
      </c>
      <c r="E18" t="s">
        <v>196</v>
      </c>
      <c r="F18" t="s">
        <v>278</v>
      </c>
      <c r="G18" s="3">
        <v>1</v>
      </c>
      <c r="H18" t="s">
        <v>21</v>
      </c>
      <c r="J18" t="s">
        <v>201</v>
      </c>
      <c r="K18">
        <v>1</v>
      </c>
      <c r="R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25">
      <c r="A19" t="s">
        <v>12</v>
      </c>
      <c r="B19" t="s">
        <v>203</v>
      </c>
      <c r="C19" t="s">
        <v>197</v>
      </c>
      <c r="D19" t="s">
        <v>134</v>
      </c>
      <c r="E19" t="s">
        <v>198</v>
      </c>
      <c r="F19" t="s">
        <v>279</v>
      </c>
      <c r="G19" s="3">
        <v>1</v>
      </c>
      <c r="H19" t="s">
        <v>21</v>
      </c>
      <c r="J19" t="s">
        <v>202</v>
      </c>
      <c r="K19">
        <v>1</v>
      </c>
      <c r="R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x14ac:dyDescent="0.25">
      <c r="A20" t="s">
        <v>12</v>
      </c>
      <c r="B20" t="s">
        <v>203</v>
      </c>
      <c r="C20" s="3" t="s">
        <v>209</v>
      </c>
      <c r="D20" t="s">
        <v>13</v>
      </c>
      <c r="E20" s="3" t="s">
        <v>210</v>
      </c>
      <c r="F20" t="s">
        <v>280</v>
      </c>
      <c r="G20" s="3">
        <v>1</v>
      </c>
      <c r="H20" s="3" t="s">
        <v>211</v>
      </c>
      <c r="K20">
        <v>1</v>
      </c>
      <c r="R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25">
      <c r="A21" t="s">
        <v>12</v>
      </c>
      <c r="B21" t="s">
        <v>203</v>
      </c>
      <c r="C21" s="3" t="s">
        <v>205</v>
      </c>
      <c r="D21" t="s">
        <v>134</v>
      </c>
      <c r="E21" s="3" t="s">
        <v>206</v>
      </c>
      <c r="F21" t="s">
        <v>281</v>
      </c>
      <c r="G21" s="3">
        <v>1</v>
      </c>
      <c r="H21" t="s">
        <v>21</v>
      </c>
      <c r="J21" t="s">
        <v>213</v>
      </c>
      <c r="K21">
        <v>1</v>
      </c>
      <c r="R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25">
      <c r="A22" t="s">
        <v>12</v>
      </c>
      <c r="B22" t="s">
        <v>203</v>
      </c>
      <c r="C22" s="3" t="s">
        <v>207</v>
      </c>
      <c r="D22" t="s">
        <v>13</v>
      </c>
      <c r="E22" s="3" t="s">
        <v>208</v>
      </c>
      <c r="F22" t="s">
        <v>282</v>
      </c>
      <c r="G22" s="3">
        <v>1</v>
      </c>
      <c r="H22" t="s">
        <v>13</v>
      </c>
      <c r="K22">
        <v>1</v>
      </c>
      <c r="L22" s="3" t="s">
        <v>212</v>
      </c>
      <c r="R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25">
      <c r="A23" t="s">
        <v>12</v>
      </c>
      <c r="B23" t="s">
        <v>203</v>
      </c>
      <c r="C23" s="3" t="s">
        <v>215</v>
      </c>
      <c r="D23" t="s">
        <v>134</v>
      </c>
      <c r="E23" s="15" t="s">
        <v>216</v>
      </c>
      <c r="F23" t="s">
        <v>283</v>
      </c>
      <c r="G23" s="3">
        <v>1</v>
      </c>
      <c r="H23" t="s">
        <v>21</v>
      </c>
      <c r="J23" t="s">
        <v>217</v>
      </c>
      <c r="K23">
        <v>1</v>
      </c>
      <c r="R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25">
      <c r="A24" t="s">
        <v>12</v>
      </c>
      <c r="B24" t="s">
        <v>204</v>
      </c>
      <c r="C24" s="3" t="s">
        <v>247</v>
      </c>
      <c r="D24" t="s">
        <v>134</v>
      </c>
      <c r="E24" s="15" t="s">
        <v>248</v>
      </c>
      <c r="F24" t="s">
        <v>284</v>
      </c>
      <c r="G24" s="3">
        <v>1</v>
      </c>
      <c r="H24" t="s">
        <v>21</v>
      </c>
      <c r="I24" s="3" t="s">
        <v>249</v>
      </c>
      <c r="J24" t="s">
        <v>252</v>
      </c>
      <c r="K24">
        <v>1</v>
      </c>
      <c r="R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5">
      <c r="A25" t="s">
        <v>12</v>
      </c>
      <c r="B25" t="s">
        <v>204</v>
      </c>
      <c r="C25" s="3" t="s">
        <v>253</v>
      </c>
      <c r="D25" t="s">
        <v>136</v>
      </c>
      <c r="E25" s="19" t="s">
        <v>254</v>
      </c>
      <c r="F25" t="s">
        <v>285</v>
      </c>
      <c r="G25" s="3">
        <v>1</v>
      </c>
      <c r="H25" t="s">
        <v>16</v>
      </c>
      <c r="K25">
        <v>1</v>
      </c>
      <c r="M25" t="s">
        <v>22</v>
      </c>
      <c r="N25" t="s">
        <v>269</v>
      </c>
      <c r="R25">
        <v>0</v>
      </c>
      <c r="S25">
        <v>1</v>
      </c>
      <c r="T25">
        <v>20</v>
      </c>
      <c r="U25">
        <v>3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25">
      <c r="A26" t="s">
        <v>12</v>
      </c>
      <c r="B26" t="s">
        <v>204</v>
      </c>
      <c r="C26" s="3" t="s">
        <v>255</v>
      </c>
      <c r="D26" t="s">
        <v>135</v>
      </c>
      <c r="E26" s="15" t="s">
        <v>256</v>
      </c>
      <c r="F26" t="s">
        <v>286</v>
      </c>
      <c r="G26" s="3">
        <v>1</v>
      </c>
      <c r="H26" t="s">
        <v>21</v>
      </c>
      <c r="J26" t="s">
        <v>71</v>
      </c>
      <c r="K26">
        <v>1</v>
      </c>
      <c r="R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x14ac:dyDescent="0.25">
      <c r="A27" t="s">
        <v>12</v>
      </c>
      <c r="B27" t="s">
        <v>204</v>
      </c>
      <c r="C27" t="s">
        <v>257</v>
      </c>
      <c r="D27" t="s">
        <v>136</v>
      </c>
      <c r="E27" t="s">
        <v>258</v>
      </c>
      <c r="F27" t="s">
        <v>287</v>
      </c>
      <c r="G27" s="3">
        <v>1</v>
      </c>
      <c r="H27" t="s">
        <v>16</v>
      </c>
      <c r="K27">
        <v>1</v>
      </c>
      <c r="M27" s="3" t="s">
        <v>270</v>
      </c>
      <c r="N27" s="3" t="s">
        <v>271</v>
      </c>
      <c r="R27">
        <v>0</v>
      </c>
      <c r="S27">
        <v>1</v>
      </c>
      <c r="T27">
        <v>20</v>
      </c>
      <c r="U27">
        <v>3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x14ac:dyDescent="0.25">
      <c r="A28" t="s">
        <v>12</v>
      </c>
      <c r="B28" t="s">
        <v>204</v>
      </c>
      <c r="C28" s="3" t="s">
        <v>259</v>
      </c>
      <c r="D28" t="s">
        <v>134</v>
      </c>
      <c r="E28" s="3" t="s">
        <v>260</v>
      </c>
      <c r="F28" t="s">
        <v>288</v>
      </c>
      <c r="G28" s="3">
        <v>1</v>
      </c>
      <c r="H28" t="s">
        <v>21</v>
      </c>
      <c r="J28" t="s">
        <v>272</v>
      </c>
      <c r="K28">
        <v>1</v>
      </c>
      <c r="R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25">
      <c r="A29" t="s">
        <v>12</v>
      </c>
      <c r="B29" t="s">
        <v>204</v>
      </c>
      <c r="C29" t="s">
        <v>261</v>
      </c>
      <c r="D29" t="s">
        <v>13</v>
      </c>
      <c r="E29" s="3" t="s">
        <v>262</v>
      </c>
      <c r="F29" t="s">
        <v>289</v>
      </c>
      <c r="G29" s="3">
        <v>1</v>
      </c>
      <c r="H29" t="s">
        <v>13</v>
      </c>
      <c r="K29">
        <v>1</v>
      </c>
      <c r="L29" s="3" t="s">
        <v>273</v>
      </c>
      <c r="R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25">
      <c r="A30" t="s">
        <v>12</v>
      </c>
      <c r="B30" t="s">
        <v>204</v>
      </c>
      <c r="C30" t="s">
        <v>263</v>
      </c>
      <c r="D30" t="s">
        <v>135</v>
      </c>
      <c r="E30" s="3" t="s">
        <v>264</v>
      </c>
      <c r="F30" t="s">
        <v>290</v>
      </c>
      <c r="G30" s="3">
        <v>1</v>
      </c>
      <c r="H30" t="s">
        <v>21</v>
      </c>
      <c r="J30" t="s">
        <v>71</v>
      </c>
      <c r="K30">
        <v>1</v>
      </c>
      <c r="R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25">
      <c r="A31" t="s">
        <v>12</v>
      </c>
      <c r="B31" t="s">
        <v>204</v>
      </c>
      <c r="C31" t="s">
        <v>265</v>
      </c>
      <c r="D31" t="s">
        <v>135</v>
      </c>
      <c r="E31" s="3" t="s">
        <v>266</v>
      </c>
      <c r="F31" t="s">
        <v>291</v>
      </c>
      <c r="G31" s="3">
        <v>1</v>
      </c>
      <c r="H31" t="s">
        <v>21</v>
      </c>
      <c r="J31" t="s">
        <v>71</v>
      </c>
      <c r="K31">
        <v>1</v>
      </c>
      <c r="R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25">
      <c r="A32" t="s">
        <v>12</v>
      </c>
      <c r="B32" t="s">
        <v>204</v>
      </c>
      <c r="C32" t="s">
        <v>267</v>
      </c>
      <c r="D32" t="s">
        <v>135</v>
      </c>
      <c r="E32" s="3" t="s">
        <v>268</v>
      </c>
      <c r="F32" t="s">
        <v>292</v>
      </c>
      <c r="G32" s="3">
        <v>1</v>
      </c>
      <c r="H32" t="s">
        <v>21</v>
      </c>
      <c r="J32" t="s">
        <v>71</v>
      </c>
      <c r="K32">
        <v>1</v>
      </c>
      <c r="R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</row>
    <row r="33" spans="1:30" x14ac:dyDescent="0.25">
      <c r="A33" t="s">
        <v>12</v>
      </c>
      <c r="B33" t="s">
        <v>204</v>
      </c>
      <c r="C33" s="3" t="s">
        <v>275</v>
      </c>
      <c r="D33" t="s">
        <v>135</v>
      </c>
      <c r="E33" s="15" t="s">
        <v>276</v>
      </c>
      <c r="F33" t="s">
        <v>293</v>
      </c>
      <c r="G33" s="3">
        <v>1</v>
      </c>
      <c r="H33" t="s">
        <v>21</v>
      </c>
      <c r="J33" t="s">
        <v>71</v>
      </c>
      <c r="K33">
        <v>1</v>
      </c>
      <c r="R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1:30" x14ac:dyDescent="0.25">
      <c r="A34" t="s">
        <v>12</v>
      </c>
      <c r="B34" t="s">
        <v>274</v>
      </c>
      <c r="C34" s="3" t="s">
        <v>220</v>
      </c>
      <c r="D34" t="s">
        <v>135</v>
      </c>
      <c r="E34" s="3" t="s">
        <v>221</v>
      </c>
      <c r="F34" t="s">
        <v>294</v>
      </c>
      <c r="G34" s="3">
        <v>1</v>
      </c>
      <c r="H34" t="s">
        <v>21</v>
      </c>
      <c r="J34" t="s">
        <v>71</v>
      </c>
      <c r="K34">
        <v>1</v>
      </c>
      <c r="L34" s="3"/>
      <c r="R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x14ac:dyDescent="0.25">
      <c r="A35" t="s">
        <v>12</v>
      </c>
      <c r="B35" t="s">
        <v>274</v>
      </c>
      <c r="C35" s="3" t="s">
        <v>222</v>
      </c>
      <c r="D35" t="s">
        <v>135</v>
      </c>
      <c r="E35" s="3" t="s">
        <v>223</v>
      </c>
      <c r="F35" t="s">
        <v>295</v>
      </c>
      <c r="G35" s="3">
        <v>1</v>
      </c>
      <c r="H35" t="s">
        <v>21</v>
      </c>
      <c r="J35" t="s">
        <v>71</v>
      </c>
      <c r="K35">
        <v>1</v>
      </c>
      <c r="L35" s="3" t="s">
        <v>234</v>
      </c>
      <c r="R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5">
      <c r="A36" t="s">
        <v>12</v>
      </c>
      <c r="B36" t="s">
        <v>274</v>
      </c>
      <c r="C36" s="3" t="s">
        <v>224</v>
      </c>
      <c r="D36" t="s">
        <v>134</v>
      </c>
      <c r="E36" s="3" t="s">
        <v>225</v>
      </c>
      <c r="F36" t="s">
        <v>296</v>
      </c>
      <c r="G36" s="3">
        <v>1</v>
      </c>
      <c r="H36" t="s">
        <v>21</v>
      </c>
      <c r="J36" t="s">
        <v>242</v>
      </c>
      <c r="K36">
        <v>1</v>
      </c>
      <c r="L36" s="3"/>
      <c r="R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5">
      <c r="A37" t="s">
        <v>12</v>
      </c>
      <c r="B37" t="s">
        <v>274</v>
      </c>
      <c r="C37" s="3" t="s">
        <v>226</v>
      </c>
      <c r="D37" t="s">
        <v>135</v>
      </c>
      <c r="E37" s="3" t="s">
        <v>227</v>
      </c>
      <c r="F37" t="s">
        <v>297</v>
      </c>
      <c r="G37" s="3">
        <v>1</v>
      </c>
      <c r="H37" t="s">
        <v>21</v>
      </c>
      <c r="J37" t="s">
        <v>71</v>
      </c>
      <c r="K37">
        <v>1</v>
      </c>
      <c r="L37" s="3" t="s">
        <v>235</v>
      </c>
      <c r="R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5">
      <c r="A38" t="s">
        <v>12</v>
      </c>
      <c r="B38" t="s">
        <v>274</v>
      </c>
      <c r="C38" t="s">
        <v>228</v>
      </c>
      <c r="D38" t="s">
        <v>135</v>
      </c>
      <c r="E38" s="3" t="s">
        <v>229</v>
      </c>
      <c r="F38" t="s">
        <v>298</v>
      </c>
      <c r="G38" s="3">
        <v>1</v>
      </c>
      <c r="H38" t="s">
        <v>21</v>
      </c>
      <c r="J38" t="s">
        <v>71</v>
      </c>
      <c r="K38">
        <v>1</v>
      </c>
      <c r="L38" s="3" t="s">
        <v>236</v>
      </c>
      <c r="R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1:30" x14ac:dyDescent="0.25">
      <c r="A39" t="s">
        <v>12</v>
      </c>
      <c r="B39" t="s">
        <v>274</v>
      </c>
      <c r="C39" t="s">
        <v>230</v>
      </c>
      <c r="D39" t="s">
        <v>134</v>
      </c>
      <c r="E39" s="3" t="s">
        <v>231</v>
      </c>
      <c r="F39" t="s">
        <v>299</v>
      </c>
      <c r="G39" s="3">
        <v>1</v>
      </c>
      <c r="H39" s="3" t="s">
        <v>106</v>
      </c>
      <c r="J39" t="s">
        <v>241</v>
      </c>
      <c r="K39">
        <v>1</v>
      </c>
      <c r="L39" s="3" t="s">
        <v>237</v>
      </c>
      <c r="R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s="13" customFormat="1" x14ac:dyDescent="0.25">
      <c r="A40" s="13" t="s">
        <v>12</v>
      </c>
      <c r="B40" s="13" t="s">
        <v>274</v>
      </c>
      <c r="C40" s="13" t="s">
        <v>232</v>
      </c>
      <c r="D40" s="13" t="s">
        <v>136</v>
      </c>
      <c r="E40" s="17" t="s">
        <v>233</v>
      </c>
      <c r="F40" s="13" t="s">
        <v>300</v>
      </c>
      <c r="G40" s="17">
        <v>1</v>
      </c>
      <c r="H40" s="17" t="s">
        <v>16</v>
      </c>
      <c r="K40" s="13">
        <v>1</v>
      </c>
      <c r="L40" s="17" t="s">
        <v>238</v>
      </c>
      <c r="M40" s="13" t="s">
        <v>239</v>
      </c>
      <c r="N40" s="13" t="s">
        <v>240</v>
      </c>
      <c r="R40" s="13">
        <v>0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</row>
    <row r="41" spans="1:30" x14ac:dyDescent="0.25">
      <c r="A41" t="s">
        <v>17</v>
      </c>
      <c r="B41" t="s">
        <v>100</v>
      </c>
      <c r="C41" s="3" t="s">
        <v>360</v>
      </c>
      <c r="D41" t="s">
        <v>134</v>
      </c>
      <c r="E41" t="s">
        <v>361</v>
      </c>
      <c r="F41" t="s">
        <v>381</v>
      </c>
      <c r="G41">
        <v>1</v>
      </c>
      <c r="H41" t="s">
        <v>21</v>
      </c>
      <c r="J41" t="s">
        <v>370</v>
      </c>
      <c r="K41">
        <v>1</v>
      </c>
      <c r="M41" t="s">
        <v>374</v>
      </c>
      <c r="N41" t="s">
        <v>375</v>
      </c>
      <c r="R41">
        <v>0</v>
      </c>
      <c r="S41">
        <v>1</v>
      </c>
      <c r="T41">
        <v>10</v>
      </c>
      <c r="U41">
        <v>2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</row>
    <row r="42" spans="1:30" x14ac:dyDescent="0.25">
      <c r="A42" t="s">
        <v>17</v>
      </c>
      <c r="B42" t="s">
        <v>100</v>
      </c>
      <c r="C42" s="3" t="s">
        <v>303</v>
      </c>
      <c r="D42" t="s">
        <v>136</v>
      </c>
      <c r="E42" t="s">
        <v>305</v>
      </c>
      <c r="F42" t="s">
        <v>382</v>
      </c>
      <c r="G42">
        <v>1</v>
      </c>
      <c r="H42" t="s">
        <v>16</v>
      </c>
      <c r="K42">
        <v>1</v>
      </c>
      <c r="M42" t="s">
        <v>18</v>
      </c>
      <c r="N42" t="s">
        <v>371</v>
      </c>
      <c r="R42">
        <v>0</v>
      </c>
      <c r="S42">
        <v>1</v>
      </c>
      <c r="T42">
        <v>10</v>
      </c>
      <c r="U42">
        <v>2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</row>
    <row r="43" spans="1:30" x14ac:dyDescent="0.25">
      <c r="A43" t="s">
        <v>17</v>
      </c>
      <c r="B43" t="s">
        <v>101</v>
      </c>
      <c r="C43" s="3" t="s">
        <v>129</v>
      </c>
      <c r="D43" t="s">
        <v>136</v>
      </c>
      <c r="E43" t="s">
        <v>372</v>
      </c>
      <c r="F43" t="s">
        <v>383</v>
      </c>
      <c r="G43">
        <v>1</v>
      </c>
      <c r="H43" t="s">
        <v>50</v>
      </c>
      <c r="K43">
        <v>1</v>
      </c>
      <c r="L43" s="3"/>
      <c r="O43" s="3" t="s">
        <v>130</v>
      </c>
      <c r="P43" t="s">
        <v>304</v>
      </c>
      <c r="R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25">
      <c r="A44" t="s">
        <v>17</v>
      </c>
      <c r="B44" t="s">
        <v>101</v>
      </c>
      <c r="C44" t="s">
        <v>335</v>
      </c>
      <c r="D44" t="s">
        <v>136</v>
      </c>
      <c r="E44" t="s">
        <v>306</v>
      </c>
      <c r="F44" t="s">
        <v>384</v>
      </c>
      <c r="G44">
        <v>1</v>
      </c>
      <c r="H44" t="s">
        <v>19</v>
      </c>
      <c r="I44" s="20" t="s">
        <v>309</v>
      </c>
      <c r="K44">
        <v>1</v>
      </c>
      <c r="M44" t="s">
        <v>20</v>
      </c>
      <c r="N44" t="s">
        <v>311</v>
      </c>
      <c r="P44" t="s">
        <v>304</v>
      </c>
      <c r="R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</row>
    <row r="45" spans="1:30" x14ac:dyDescent="0.25">
      <c r="A45" t="s">
        <v>17</v>
      </c>
      <c r="B45" t="s">
        <v>101</v>
      </c>
      <c r="C45" t="s">
        <v>25</v>
      </c>
      <c r="D45" t="s">
        <v>134</v>
      </c>
      <c r="E45" t="s">
        <v>307</v>
      </c>
      <c r="F45" t="s">
        <v>385</v>
      </c>
      <c r="G45">
        <v>1</v>
      </c>
      <c r="H45" t="s">
        <v>21</v>
      </c>
      <c r="J45" t="s">
        <v>308</v>
      </c>
      <c r="K45">
        <v>1</v>
      </c>
      <c r="P45" t="s">
        <v>304</v>
      </c>
      <c r="R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</row>
    <row r="46" spans="1:30" x14ac:dyDescent="0.25">
      <c r="A46" t="s">
        <v>17</v>
      </c>
      <c r="B46" t="s">
        <v>101</v>
      </c>
      <c r="C46" t="s">
        <v>315</v>
      </c>
      <c r="D46" t="s">
        <v>13</v>
      </c>
      <c r="E46" t="s">
        <v>317</v>
      </c>
      <c r="F46" t="s">
        <v>386</v>
      </c>
      <c r="G46">
        <v>1</v>
      </c>
      <c r="H46" t="s">
        <v>13</v>
      </c>
      <c r="K46">
        <v>1</v>
      </c>
      <c r="L46" s="3" t="s">
        <v>316</v>
      </c>
      <c r="P46" t="s">
        <v>304</v>
      </c>
      <c r="R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</row>
    <row r="47" spans="1:30" x14ac:dyDescent="0.25">
      <c r="A47" t="s">
        <v>17</v>
      </c>
      <c r="B47" t="s">
        <v>101</v>
      </c>
      <c r="C47" t="s">
        <v>312</v>
      </c>
      <c r="D47" t="s">
        <v>134</v>
      </c>
      <c r="E47" t="s">
        <v>314</v>
      </c>
      <c r="F47" t="s">
        <v>387</v>
      </c>
      <c r="G47">
        <v>1</v>
      </c>
      <c r="H47" t="s">
        <v>50</v>
      </c>
      <c r="K47">
        <v>1</v>
      </c>
      <c r="O47" s="3" t="s">
        <v>313</v>
      </c>
      <c r="P47" t="s">
        <v>304</v>
      </c>
      <c r="R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25">
      <c r="A48" t="s">
        <v>17</v>
      </c>
      <c r="B48" t="s">
        <v>101</v>
      </c>
      <c r="C48" t="s">
        <v>336</v>
      </c>
      <c r="D48" t="s">
        <v>136</v>
      </c>
      <c r="E48" t="s">
        <v>320</v>
      </c>
      <c r="F48" t="s">
        <v>388</v>
      </c>
      <c r="G48">
        <v>1</v>
      </c>
      <c r="H48" t="s">
        <v>50</v>
      </c>
      <c r="K48">
        <v>1</v>
      </c>
      <c r="L48" s="3"/>
      <c r="O48" t="s">
        <v>403</v>
      </c>
      <c r="P48" t="s">
        <v>304</v>
      </c>
      <c r="R48">
        <v>0</v>
      </c>
      <c r="S48">
        <v>0</v>
      </c>
      <c r="T48">
        <v>200</v>
      </c>
      <c r="U48">
        <v>3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5">
      <c r="A49" t="s">
        <v>17</v>
      </c>
      <c r="B49" t="s">
        <v>101</v>
      </c>
      <c r="C49" t="s">
        <v>337</v>
      </c>
      <c r="D49" t="s">
        <v>136</v>
      </c>
      <c r="E49" t="s">
        <v>318</v>
      </c>
      <c r="F49" t="s">
        <v>389</v>
      </c>
      <c r="G49">
        <v>1</v>
      </c>
      <c r="H49" t="s">
        <v>19</v>
      </c>
      <c r="I49" s="20" t="s">
        <v>408</v>
      </c>
      <c r="K49">
        <v>1</v>
      </c>
      <c r="M49" t="s">
        <v>338</v>
      </c>
      <c r="N49" t="s">
        <v>406</v>
      </c>
      <c r="P49" t="s">
        <v>304</v>
      </c>
      <c r="R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</row>
    <row r="50" spans="1:30" x14ac:dyDescent="0.25">
      <c r="A50" t="s">
        <v>17</v>
      </c>
      <c r="B50" t="s">
        <v>101</v>
      </c>
      <c r="C50" t="s">
        <v>339</v>
      </c>
      <c r="D50" t="s">
        <v>136</v>
      </c>
      <c r="E50" t="s">
        <v>319</v>
      </c>
      <c r="F50" t="s">
        <v>390</v>
      </c>
      <c r="G50">
        <v>1</v>
      </c>
      <c r="H50" t="s">
        <v>50</v>
      </c>
      <c r="K50">
        <v>1</v>
      </c>
      <c r="L50" s="3"/>
      <c r="M50" t="s">
        <v>340</v>
      </c>
      <c r="O50" t="s">
        <v>404</v>
      </c>
      <c r="P50" t="s">
        <v>304</v>
      </c>
      <c r="R50">
        <v>0</v>
      </c>
      <c r="S50">
        <v>0</v>
      </c>
      <c r="T50">
        <v>200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0" x14ac:dyDescent="0.25">
      <c r="A51" t="s">
        <v>17</v>
      </c>
      <c r="B51" t="s">
        <v>101</v>
      </c>
      <c r="C51" t="s">
        <v>341</v>
      </c>
      <c r="D51" t="s">
        <v>136</v>
      </c>
      <c r="E51" t="s">
        <v>322</v>
      </c>
      <c r="F51" t="s">
        <v>391</v>
      </c>
      <c r="G51">
        <v>1</v>
      </c>
      <c r="H51" t="s">
        <v>19</v>
      </c>
      <c r="I51" t="s">
        <v>321</v>
      </c>
      <c r="K51">
        <v>1</v>
      </c>
      <c r="M51" t="s">
        <v>342</v>
      </c>
      <c r="N51" t="s">
        <v>407</v>
      </c>
      <c r="P51" t="s">
        <v>304</v>
      </c>
      <c r="R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0" x14ac:dyDescent="0.25">
      <c r="A52" t="s">
        <v>17</v>
      </c>
      <c r="B52" t="s">
        <v>101</v>
      </c>
      <c r="C52" t="s">
        <v>343</v>
      </c>
      <c r="D52" t="s">
        <v>136</v>
      </c>
      <c r="E52" t="s">
        <v>323</v>
      </c>
      <c r="F52" t="s">
        <v>392</v>
      </c>
      <c r="G52">
        <v>1</v>
      </c>
      <c r="H52" t="s">
        <v>50</v>
      </c>
      <c r="K52">
        <v>1</v>
      </c>
      <c r="L52" s="3"/>
      <c r="M52" t="s">
        <v>344</v>
      </c>
      <c r="O52" t="s">
        <v>405</v>
      </c>
      <c r="P52" t="s">
        <v>304</v>
      </c>
      <c r="R52">
        <v>0</v>
      </c>
      <c r="S52">
        <v>0</v>
      </c>
      <c r="T52">
        <v>200</v>
      </c>
      <c r="U52">
        <v>3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0" x14ac:dyDescent="0.25">
      <c r="A53" t="s">
        <v>17</v>
      </c>
      <c r="B53" t="s">
        <v>102</v>
      </c>
      <c r="C53" t="s">
        <v>310</v>
      </c>
      <c r="D53" t="s">
        <v>136</v>
      </c>
      <c r="E53" t="s">
        <v>327</v>
      </c>
      <c r="F53" t="s">
        <v>393</v>
      </c>
      <c r="G53">
        <v>1</v>
      </c>
      <c r="H53" t="s">
        <v>50</v>
      </c>
      <c r="K53">
        <v>1</v>
      </c>
      <c r="M53" s="3" t="s">
        <v>20</v>
      </c>
      <c r="N53" t="s">
        <v>329</v>
      </c>
      <c r="O53" t="s">
        <v>345</v>
      </c>
      <c r="R53">
        <v>0</v>
      </c>
      <c r="S53">
        <v>0</v>
      </c>
      <c r="T53">
        <v>200</v>
      </c>
      <c r="U53">
        <v>3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</row>
    <row r="54" spans="1:30" x14ac:dyDescent="0.25">
      <c r="A54" t="s">
        <v>17</v>
      </c>
      <c r="B54" t="s">
        <v>102</v>
      </c>
      <c r="C54" t="s">
        <v>332</v>
      </c>
      <c r="D54" t="s">
        <v>136</v>
      </c>
      <c r="E54" t="s">
        <v>328</v>
      </c>
      <c r="F54" t="s">
        <v>394</v>
      </c>
      <c r="G54">
        <v>1</v>
      </c>
      <c r="H54" t="s">
        <v>50</v>
      </c>
      <c r="K54">
        <v>1</v>
      </c>
      <c r="L54" s="3"/>
      <c r="M54" t="s">
        <v>331</v>
      </c>
      <c r="N54" t="s">
        <v>330</v>
      </c>
      <c r="O54" t="s">
        <v>346</v>
      </c>
      <c r="R54">
        <v>0</v>
      </c>
      <c r="S54">
        <v>0</v>
      </c>
      <c r="T54">
        <v>200</v>
      </c>
      <c r="U54">
        <v>3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</row>
    <row r="55" spans="1:30" x14ac:dyDescent="0.25">
      <c r="A55" t="s">
        <v>17</v>
      </c>
      <c r="B55" t="s">
        <v>102</v>
      </c>
      <c r="C55" t="s">
        <v>333</v>
      </c>
      <c r="D55" t="s">
        <v>136</v>
      </c>
      <c r="E55" t="s">
        <v>328</v>
      </c>
      <c r="F55" t="s">
        <v>394</v>
      </c>
      <c r="G55">
        <v>1</v>
      </c>
      <c r="H55" t="s">
        <v>50</v>
      </c>
      <c r="K55">
        <v>1</v>
      </c>
      <c r="L55" s="3"/>
      <c r="M55" t="s">
        <v>334</v>
      </c>
      <c r="N55" t="s">
        <v>330</v>
      </c>
      <c r="O55" t="s">
        <v>347</v>
      </c>
      <c r="R55">
        <v>0</v>
      </c>
      <c r="S55">
        <v>0</v>
      </c>
      <c r="T55">
        <v>200</v>
      </c>
      <c r="U55">
        <v>3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</row>
    <row r="56" spans="1:30" x14ac:dyDescent="0.25">
      <c r="A56" t="s">
        <v>17</v>
      </c>
      <c r="B56" t="s">
        <v>102</v>
      </c>
      <c r="C56" t="s">
        <v>348</v>
      </c>
      <c r="D56" t="s">
        <v>137</v>
      </c>
      <c r="E56" t="s">
        <v>349</v>
      </c>
      <c r="F56" t="s">
        <v>395</v>
      </c>
      <c r="G56">
        <v>1</v>
      </c>
      <c r="H56" t="s">
        <v>13</v>
      </c>
      <c r="I56" t="s">
        <v>350</v>
      </c>
      <c r="K56">
        <v>1</v>
      </c>
      <c r="L56" t="s">
        <v>351</v>
      </c>
      <c r="Q56">
        <v>1</v>
      </c>
      <c r="R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</row>
    <row r="57" spans="1:30" x14ac:dyDescent="0.25">
      <c r="A57" t="s">
        <v>17</v>
      </c>
      <c r="B57" t="s">
        <v>102</v>
      </c>
      <c r="C57" t="s">
        <v>355</v>
      </c>
      <c r="D57" t="s">
        <v>137</v>
      </c>
      <c r="E57" t="s">
        <v>356</v>
      </c>
      <c r="F57" t="s">
        <v>396</v>
      </c>
      <c r="G57">
        <v>1</v>
      </c>
      <c r="H57" t="s">
        <v>13</v>
      </c>
      <c r="I57" t="s">
        <v>350</v>
      </c>
      <c r="K57">
        <v>1</v>
      </c>
      <c r="L57" t="s">
        <v>402</v>
      </c>
      <c r="Q57">
        <v>1</v>
      </c>
      <c r="R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</row>
    <row r="58" spans="1:30" x14ac:dyDescent="0.25">
      <c r="A58" t="s">
        <v>17</v>
      </c>
      <c r="B58" t="s">
        <v>102</v>
      </c>
      <c r="C58" t="s">
        <v>352</v>
      </c>
      <c r="D58" t="s">
        <v>137</v>
      </c>
      <c r="E58" t="s">
        <v>353</v>
      </c>
      <c r="F58" t="s">
        <v>397</v>
      </c>
      <c r="G58">
        <v>1</v>
      </c>
      <c r="H58" t="s">
        <v>13</v>
      </c>
      <c r="I58" t="s">
        <v>350</v>
      </c>
      <c r="K58">
        <v>1</v>
      </c>
      <c r="L58" t="s">
        <v>354</v>
      </c>
      <c r="Q58">
        <v>1</v>
      </c>
      <c r="R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1:30" x14ac:dyDescent="0.25">
      <c r="A59" t="s">
        <v>17</v>
      </c>
      <c r="B59" t="s">
        <v>357</v>
      </c>
      <c r="C59" t="s">
        <v>362</v>
      </c>
      <c r="D59" t="s">
        <v>134</v>
      </c>
      <c r="E59" s="3" t="s">
        <v>363</v>
      </c>
      <c r="F59" t="s">
        <v>398</v>
      </c>
      <c r="G59">
        <v>1</v>
      </c>
      <c r="H59" s="3" t="s">
        <v>106</v>
      </c>
      <c r="J59" t="s">
        <v>373</v>
      </c>
      <c r="K59">
        <v>1</v>
      </c>
      <c r="M59" s="3" t="s">
        <v>376</v>
      </c>
      <c r="N59" s="3" t="s">
        <v>377</v>
      </c>
      <c r="R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</row>
    <row r="60" spans="1:30" x14ac:dyDescent="0.25">
      <c r="A60" t="s">
        <v>17</v>
      </c>
      <c r="B60" t="s">
        <v>357</v>
      </c>
      <c r="C60" t="s">
        <v>364</v>
      </c>
      <c r="D60" t="s">
        <v>13</v>
      </c>
      <c r="E60" s="3" t="s">
        <v>365</v>
      </c>
      <c r="F60" t="s">
        <v>399</v>
      </c>
      <c r="G60">
        <v>1</v>
      </c>
      <c r="H60" t="s">
        <v>13</v>
      </c>
      <c r="K60">
        <v>1</v>
      </c>
      <c r="L60" s="3" t="s">
        <v>378</v>
      </c>
      <c r="R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</row>
    <row r="61" spans="1:30" x14ac:dyDescent="0.25">
      <c r="A61" t="s">
        <v>17</v>
      </c>
      <c r="B61" t="s">
        <v>357</v>
      </c>
      <c r="C61" t="s">
        <v>366</v>
      </c>
      <c r="D61" t="s">
        <v>13</v>
      </c>
      <c r="E61" s="3" t="s">
        <v>367</v>
      </c>
      <c r="F61" t="s">
        <v>400</v>
      </c>
      <c r="G61">
        <v>1</v>
      </c>
      <c r="H61" t="s">
        <v>13</v>
      </c>
      <c r="K61">
        <v>1</v>
      </c>
      <c r="L61" s="3" t="s">
        <v>379</v>
      </c>
      <c r="R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r="62" spans="1:30" x14ac:dyDescent="0.25">
      <c r="A62" t="s">
        <v>17</v>
      </c>
      <c r="B62" t="s">
        <v>357</v>
      </c>
      <c r="C62" t="s">
        <v>368</v>
      </c>
      <c r="D62" t="s">
        <v>13</v>
      </c>
      <c r="E62" s="3" t="s">
        <v>369</v>
      </c>
      <c r="F62" t="s">
        <v>401</v>
      </c>
      <c r="G62">
        <v>1</v>
      </c>
      <c r="H62" t="s">
        <v>13</v>
      </c>
      <c r="K62">
        <v>1</v>
      </c>
      <c r="L62" s="3" t="s">
        <v>380</v>
      </c>
      <c r="R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</row>
  </sheetData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0B3A7-F1A9-4138-9746-C78D60BB77D0}">
  <dimension ref="A1:G30"/>
  <sheetViews>
    <sheetView topLeftCell="A4" zoomScale="145" zoomScaleNormal="145" workbookViewId="0">
      <selection activeCell="B21" sqref="B21"/>
    </sheetView>
  </sheetViews>
  <sheetFormatPr defaultRowHeight="15" x14ac:dyDescent="0.25"/>
  <cols>
    <col min="1" max="1" width="9.5703125" customWidth="1"/>
    <col min="2" max="2" width="27.28515625" customWidth="1"/>
    <col min="4" max="4" width="12.85546875" bestFit="1" customWidth="1"/>
    <col min="5" max="5" width="27" bestFit="1" customWidth="1"/>
    <col min="6" max="6" width="22.5703125" bestFit="1" customWidth="1"/>
    <col min="7" max="7" width="36.7109375" bestFit="1" customWidth="1"/>
  </cols>
  <sheetData>
    <row r="1" spans="1:7" s="1" customFormat="1" x14ac:dyDescent="0.25">
      <c r="A1" s="1" t="s">
        <v>54</v>
      </c>
      <c r="B1" s="1" t="s">
        <v>55</v>
      </c>
      <c r="C1" s="1" t="s">
        <v>56</v>
      </c>
      <c r="D1" s="1" t="s">
        <v>123</v>
      </c>
      <c r="E1" s="1" t="s">
        <v>2</v>
      </c>
      <c r="F1" s="1" t="s">
        <v>1</v>
      </c>
      <c r="G1" s="1" t="s">
        <v>73</v>
      </c>
    </row>
    <row r="2" spans="1:7" x14ac:dyDescent="0.25">
      <c r="A2" t="s">
        <v>3</v>
      </c>
      <c r="B2" t="s">
        <v>94</v>
      </c>
      <c r="C2">
        <v>1</v>
      </c>
      <c r="E2" t="s">
        <v>148</v>
      </c>
      <c r="F2" t="s">
        <v>150</v>
      </c>
      <c r="G2" t="s">
        <v>152</v>
      </c>
    </row>
    <row r="3" spans="1:7" x14ac:dyDescent="0.25">
      <c r="A3" t="s">
        <v>3</v>
      </c>
      <c r="B3" t="s">
        <v>147</v>
      </c>
      <c r="C3">
        <f>C2+1</f>
        <v>2</v>
      </c>
      <c r="E3" t="s">
        <v>149</v>
      </c>
      <c r="F3" t="s">
        <v>151</v>
      </c>
      <c r="G3" t="s">
        <v>154</v>
      </c>
    </row>
    <row r="4" spans="1:7" x14ac:dyDescent="0.25">
      <c r="A4" t="s">
        <v>3</v>
      </c>
      <c r="B4" t="s">
        <v>12</v>
      </c>
      <c r="C4">
        <f t="shared" ref="C4:C12" si="0">C3+1</f>
        <v>3</v>
      </c>
      <c r="E4" t="s">
        <v>57</v>
      </c>
      <c r="F4" t="s">
        <v>58</v>
      </c>
      <c r="G4" t="s">
        <v>192</v>
      </c>
    </row>
    <row r="5" spans="1:7" x14ac:dyDescent="0.25">
      <c r="A5" t="s">
        <v>3</v>
      </c>
      <c r="B5" t="s">
        <v>17</v>
      </c>
      <c r="C5">
        <f t="shared" si="0"/>
        <v>4</v>
      </c>
      <c r="E5" t="s">
        <v>302</v>
      </c>
      <c r="F5" t="s">
        <v>59</v>
      </c>
      <c r="G5" t="s">
        <v>301</v>
      </c>
    </row>
    <row r="6" spans="1:7" x14ac:dyDescent="0.25">
      <c r="A6" t="s">
        <v>3</v>
      </c>
      <c r="B6" t="s">
        <v>26</v>
      </c>
      <c r="C6">
        <f t="shared" si="0"/>
        <v>5</v>
      </c>
      <c r="E6" t="s">
        <v>60</v>
      </c>
      <c r="F6" t="s">
        <v>61</v>
      </c>
      <c r="G6" t="s">
        <v>74</v>
      </c>
    </row>
    <row r="7" spans="1:7" x14ac:dyDescent="0.25">
      <c r="A7" t="s">
        <v>3</v>
      </c>
      <c r="B7" t="s">
        <v>108</v>
      </c>
      <c r="C7">
        <f t="shared" si="0"/>
        <v>6</v>
      </c>
      <c r="E7" t="s">
        <v>112</v>
      </c>
      <c r="F7" t="s">
        <v>112</v>
      </c>
      <c r="G7" t="s">
        <v>75</v>
      </c>
    </row>
    <row r="8" spans="1:7" x14ac:dyDescent="0.25">
      <c r="A8" t="s">
        <v>3</v>
      </c>
      <c r="B8" t="s">
        <v>27</v>
      </c>
      <c r="C8">
        <f t="shared" si="0"/>
        <v>7</v>
      </c>
      <c r="E8" t="s">
        <v>62</v>
      </c>
      <c r="F8" t="s">
        <v>63</v>
      </c>
      <c r="G8" t="s">
        <v>76</v>
      </c>
    </row>
    <row r="9" spans="1:7" x14ac:dyDescent="0.25">
      <c r="A9" t="s">
        <v>3</v>
      </c>
      <c r="B9" t="s">
        <v>28</v>
      </c>
      <c r="C9">
        <f t="shared" si="0"/>
        <v>8</v>
      </c>
      <c r="E9" t="s">
        <v>64</v>
      </c>
      <c r="F9" t="s">
        <v>65</v>
      </c>
      <c r="G9" t="s">
        <v>77</v>
      </c>
    </row>
    <row r="10" spans="1:7" x14ac:dyDescent="0.25">
      <c r="A10" t="s">
        <v>3</v>
      </c>
      <c r="B10" t="s">
        <v>29</v>
      </c>
      <c r="C10">
        <f t="shared" si="0"/>
        <v>9</v>
      </c>
      <c r="E10" t="s">
        <v>66</v>
      </c>
      <c r="F10" t="s">
        <v>67</v>
      </c>
      <c r="G10" t="s">
        <v>78</v>
      </c>
    </row>
    <row r="11" spans="1:7" x14ac:dyDescent="0.25">
      <c r="A11" t="s">
        <v>3</v>
      </c>
      <c r="B11" t="s">
        <v>30</v>
      </c>
      <c r="C11">
        <f t="shared" si="0"/>
        <v>10</v>
      </c>
      <c r="E11" t="s">
        <v>68</v>
      </c>
      <c r="F11" t="s">
        <v>69</v>
      </c>
      <c r="G11" t="s">
        <v>79</v>
      </c>
    </row>
    <row r="12" spans="1:7" s="13" customFormat="1" x14ac:dyDescent="0.25">
      <c r="A12" s="13" t="s">
        <v>3</v>
      </c>
      <c r="B12" s="13" t="s">
        <v>90</v>
      </c>
      <c r="C12" s="14">
        <f t="shared" si="0"/>
        <v>11</v>
      </c>
      <c r="D12" s="14"/>
      <c r="E12" s="13" t="s">
        <v>98</v>
      </c>
      <c r="F12" s="13" t="s">
        <v>99</v>
      </c>
      <c r="G12" s="13" t="s">
        <v>79</v>
      </c>
    </row>
    <row r="13" spans="1:7" x14ac:dyDescent="0.25">
      <c r="A13" t="s">
        <v>49</v>
      </c>
      <c r="B13" t="s">
        <v>94</v>
      </c>
      <c r="C13">
        <v>1</v>
      </c>
      <c r="D13">
        <v>1</v>
      </c>
      <c r="E13" t="s">
        <v>148</v>
      </c>
      <c r="F13" t="s">
        <v>150</v>
      </c>
      <c r="G13" t="s">
        <v>153</v>
      </c>
    </row>
    <row r="14" spans="1:7" x14ac:dyDescent="0.25">
      <c r="A14" t="s">
        <v>49</v>
      </c>
      <c r="B14" t="s">
        <v>147</v>
      </c>
      <c r="C14">
        <f>C13+1</f>
        <v>2</v>
      </c>
      <c r="D14">
        <v>2</v>
      </c>
      <c r="E14" t="s">
        <v>149</v>
      </c>
      <c r="F14" t="s">
        <v>151</v>
      </c>
      <c r="G14" s="3" t="s">
        <v>244</v>
      </c>
    </row>
    <row r="15" spans="1:7" x14ac:dyDescent="0.25">
      <c r="A15" t="s">
        <v>49</v>
      </c>
      <c r="B15" t="s">
        <v>203</v>
      </c>
      <c r="C15">
        <f>C14+1</f>
        <v>3</v>
      </c>
      <c r="D15">
        <v>3</v>
      </c>
      <c r="E15" t="s">
        <v>214</v>
      </c>
      <c r="F15" t="s">
        <v>58</v>
      </c>
      <c r="G15" s="3" t="s">
        <v>245</v>
      </c>
    </row>
    <row r="16" spans="1:7" x14ac:dyDescent="0.25">
      <c r="A16" t="s">
        <v>49</v>
      </c>
      <c r="B16" t="s">
        <v>204</v>
      </c>
      <c r="C16">
        <f>C17+1</f>
        <v>5</v>
      </c>
      <c r="D16">
        <v>3</v>
      </c>
      <c r="E16" t="s">
        <v>218</v>
      </c>
      <c r="F16" t="s">
        <v>219</v>
      </c>
      <c r="G16" s="3" t="s">
        <v>246</v>
      </c>
    </row>
    <row r="17" spans="1:7" x14ac:dyDescent="0.25">
      <c r="A17" t="s">
        <v>49</v>
      </c>
      <c r="B17" t="s">
        <v>274</v>
      </c>
      <c r="C17">
        <f>C15+1</f>
        <v>4</v>
      </c>
      <c r="D17">
        <v>3</v>
      </c>
      <c r="E17" t="s">
        <v>250</v>
      </c>
      <c r="F17" t="s">
        <v>251</v>
      </c>
      <c r="G17" s="3"/>
    </row>
    <row r="18" spans="1:7" x14ac:dyDescent="0.25">
      <c r="A18" t="s">
        <v>49</v>
      </c>
      <c r="B18" t="s">
        <v>100</v>
      </c>
      <c r="C18">
        <f>C16+1</f>
        <v>6</v>
      </c>
      <c r="D18">
        <v>3</v>
      </c>
      <c r="E18" t="s">
        <v>302</v>
      </c>
      <c r="F18" t="s">
        <v>59</v>
      </c>
    </row>
    <row r="19" spans="1:7" x14ac:dyDescent="0.25">
      <c r="A19" t="s">
        <v>49</v>
      </c>
      <c r="B19" t="s">
        <v>101</v>
      </c>
      <c r="C19">
        <f t="shared" ref="C19" si="1">C18+1</f>
        <v>7</v>
      </c>
      <c r="D19">
        <v>4</v>
      </c>
      <c r="E19" t="s">
        <v>88</v>
      </c>
      <c r="F19" t="s">
        <v>87</v>
      </c>
      <c r="G19" t="s">
        <v>324</v>
      </c>
    </row>
    <row r="20" spans="1:7" x14ac:dyDescent="0.25">
      <c r="A20" t="s">
        <v>49</v>
      </c>
      <c r="B20" t="s">
        <v>102</v>
      </c>
      <c r="C20">
        <f t="shared" ref="C20:C30" si="2">C19+1</f>
        <v>8</v>
      </c>
      <c r="D20">
        <v>4</v>
      </c>
      <c r="E20" t="s">
        <v>326</v>
      </c>
      <c r="F20" t="s">
        <v>89</v>
      </c>
      <c r="G20" t="s">
        <v>325</v>
      </c>
    </row>
    <row r="21" spans="1:7" x14ac:dyDescent="0.25">
      <c r="A21" t="s">
        <v>49</v>
      </c>
      <c r="B21" t="s">
        <v>357</v>
      </c>
      <c r="C21">
        <f t="shared" si="2"/>
        <v>9</v>
      </c>
      <c r="D21">
        <v>4</v>
      </c>
      <c r="E21" t="s">
        <v>358</v>
      </c>
      <c r="F21" t="s">
        <v>359</v>
      </c>
      <c r="G21" t="s">
        <v>325</v>
      </c>
    </row>
    <row r="22" spans="1:7" x14ac:dyDescent="0.25">
      <c r="A22" t="s">
        <v>49</v>
      </c>
      <c r="B22" t="s">
        <v>26</v>
      </c>
      <c r="C22">
        <f>C20+1</f>
        <v>9</v>
      </c>
      <c r="D22">
        <v>4</v>
      </c>
      <c r="E22" t="s">
        <v>60</v>
      </c>
      <c r="F22" t="s">
        <v>61</v>
      </c>
      <c r="G22" t="s">
        <v>80</v>
      </c>
    </row>
    <row r="23" spans="1:7" x14ac:dyDescent="0.25">
      <c r="A23" t="s">
        <v>49</v>
      </c>
      <c r="B23" t="s">
        <v>109</v>
      </c>
      <c r="C23">
        <f t="shared" si="2"/>
        <v>10</v>
      </c>
      <c r="D23">
        <v>5</v>
      </c>
      <c r="E23" t="s">
        <v>113</v>
      </c>
      <c r="F23" t="s">
        <v>112</v>
      </c>
      <c r="G23" t="s">
        <v>81</v>
      </c>
    </row>
    <row r="24" spans="1:7" x14ac:dyDescent="0.25">
      <c r="A24" t="s">
        <v>49</v>
      </c>
      <c r="B24" t="s">
        <v>110</v>
      </c>
      <c r="C24">
        <f t="shared" si="2"/>
        <v>11</v>
      </c>
      <c r="D24">
        <v>5</v>
      </c>
      <c r="E24" t="s">
        <v>114</v>
      </c>
      <c r="F24" t="s">
        <v>114</v>
      </c>
      <c r="G24" t="s">
        <v>81</v>
      </c>
    </row>
    <row r="25" spans="1:7" x14ac:dyDescent="0.25">
      <c r="A25" t="s">
        <v>49</v>
      </c>
      <c r="B25" t="s">
        <v>111</v>
      </c>
      <c r="C25">
        <f t="shared" si="2"/>
        <v>12</v>
      </c>
      <c r="D25">
        <v>5</v>
      </c>
      <c r="E25" t="s">
        <v>115</v>
      </c>
      <c r="F25" t="s">
        <v>115</v>
      </c>
      <c r="G25" t="s">
        <v>81</v>
      </c>
    </row>
    <row r="26" spans="1:7" x14ac:dyDescent="0.25">
      <c r="A26" t="s">
        <v>49</v>
      </c>
      <c r="B26" t="s">
        <v>27</v>
      </c>
      <c r="C26">
        <f t="shared" si="2"/>
        <v>13</v>
      </c>
      <c r="D26">
        <v>6</v>
      </c>
      <c r="E26" t="s">
        <v>62</v>
      </c>
      <c r="F26" t="s">
        <v>63</v>
      </c>
      <c r="G26" t="s">
        <v>82</v>
      </c>
    </row>
    <row r="27" spans="1:7" x14ac:dyDescent="0.25">
      <c r="A27" t="s">
        <v>49</v>
      </c>
      <c r="B27" t="s">
        <v>28</v>
      </c>
      <c r="C27">
        <f t="shared" si="2"/>
        <v>14</v>
      </c>
      <c r="D27">
        <v>7</v>
      </c>
      <c r="E27" t="s">
        <v>64</v>
      </c>
      <c r="F27" t="s">
        <v>65</v>
      </c>
      <c r="G27" t="s">
        <v>83</v>
      </c>
    </row>
    <row r="28" spans="1:7" x14ac:dyDescent="0.25">
      <c r="A28" t="s">
        <v>49</v>
      </c>
      <c r="B28" t="s">
        <v>29</v>
      </c>
      <c r="C28">
        <f t="shared" si="2"/>
        <v>15</v>
      </c>
      <c r="D28">
        <v>8</v>
      </c>
      <c r="E28" t="s">
        <v>66</v>
      </c>
      <c r="F28" t="s">
        <v>67</v>
      </c>
      <c r="G28" t="s">
        <v>84</v>
      </c>
    </row>
    <row r="29" spans="1:7" x14ac:dyDescent="0.25">
      <c r="A29" t="s">
        <v>49</v>
      </c>
      <c r="B29" t="s">
        <v>30</v>
      </c>
      <c r="C29">
        <f t="shared" si="2"/>
        <v>16</v>
      </c>
      <c r="D29">
        <v>9</v>
      </c>
      <c r="E29" t="s">
        <v>68</v>
      </c>
      <c r="F29" t="s">
        <v>69</v>
      </c>
      <c r="G29" t="s">
        <v>85</v>
      </c>
    </row>
    <row r="30" spans="1:7" x14ac:dyDescent="0.25">
      <c r="A30" t="s">
        <v>49</v>
      </c>
      <c r="B30" t="s">
        <v>90</v>
      </c>
      <c r="C30">
        <f t="shared" si="2"/>
        <v>17</v>
      </c>
      <c r="D30" s="4">
        <v>10</v>
      </c>
      <c r="E30" t="s">
        <v>98</v>
      </c>
      <c r="F30" t="s">
        <v>99</v>
      </c>
      <c r="G30" s="3" t="s">
        <v>243</v>
      </c>
    </row>
  </sheetData>
  <phoneticPr fontId="2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654E4-A7EA-4CF7-A077-AAA2CB663E9B}">
  <dimension ref="A1:AD79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62" sqref="A2:XFD62"/>
    </sheetView>
  </sheetViews>
  <sheetFormatPr defaultRowHeight="15" x14ac:dyDescent="0.25"/>
  <cols>
    <col min="1" max="1" width="18.140625" customWidth="1"/>
    <col min="2" max="2" width="16" customWidth="1"/>
    <col min="3" max="3" width="23.28515625" bestFit="1" customWidth="1"/>
    <col min="4" max="4" width="12.5703125" customWidth="1"/>
    <col min="5" max="5" width="23" customWidth="1"/>
    <col min="6" max="6" width="17" customWidth="1"/>
    <col min="7" max="7" width="21.42578125" customWidth="1"/>
    <col min="8" max="8" width="14.28515625" customWidth="1"/>
    <col min="9" max="10" width="15.7109375" customWidth="1"/>
    <col min="11" max="11" width="14.42578125" customWidth="1"/>
    <col min="12" max="12" width="14.140625" customWidth="1"/>
    <col min="13" max="13" width="16.42578125" customWidth="1"/>
    <col min="14" max="14" width="21.42578125" customWidth="1"/>
    <col min="15" max="15" width="35.5703125" customWidth="1"/>
    <col min="16" max="16" width="16.140625" customWidth="1"/>
    <col min="17" max="17" width="14.5703125" bestFit="1" customWidth="1"/>
    <col min="18" max="18" width="15" customWidth="1"/>
    <col min="19" max="19" width="11.42578125" bestFit="1" customWidth="1"/>
    <col min="20" max="20" width="11.7109375" bestFit="1" customWidth="1"/>
    <col min="21" max="21" width="17.28515625" bestFit="1" customWidth="1"/>
    <col min="22" max="22" width="19" bestFit="1" customWidth="1"/>
    <col min="26" max="26" width="12.5703125" bestFit="1" customWidth="1"/>
    <col min="27" max="27" width="11" bestFit="1" customWidth="1"/>
    <col min="28" max="28" width="13.28515625" bestFit="1" customWidth="1"/>
    <col min="29" max="29" width="10.42578125" customWidth="1"/>
    <col min="30" max="30" width="13.5703125" bestFit="1" customWidth="1"/>
  </cols>
  <sheetData>
    <row r="1" spans="1:30" s="2" customFormat="1" x14ac:dyDescent="0.25">
      <c r="A1" s="6" t="s">
        <v>3</v>
      </c>
      <c r="B1" s="6" t="s">
        <v>49</v>
      </c>
      <c r="C1" s="6" t="s">
        <v>0</v>
      </c>
      <c r="D1" s="6" t="s">
        <v>138</v>
      </c>
      <c r="E1" s="6" t="s">
        <v>2</v>
      </c>
      <c r="F1" s="6" t="s">
        <v>1</v>
      </c>
      <c r="G1" s="7" t="s">
        <v>4</v>
      </c>
      <c r="H1" s="7" t="s">
        <v>45</v>
      </c>
      <c r="I1" s="7" t="s">
        <v>46</v>
      </c>
      <c r="J1" s="7" t="s">
        <v>44</v>
      </c>
      <c r="K1" s="7" t="s">
        <v>40</v>
      </c>
      <c r="L1" s="7" t="s">
        <v>41</v>
      </c>
      <c r="M1" s="7" t="s">
        <v>42</v>
      </c>
      <c r="N1" s="7" t="s">
        <v>43</v>
      </c>
      <c r="O1" s="7" t="s">
        <v>48</v>
      </c>
      <c r="P1" s="7" t="s">
        <v>47</v>
      </c>
      <c r="Q1" s="7" t="s">
        <v>53</v>
      </c>
      <c r="R1" s="8" t="s">
        <v>5</v>
      </c>
      <c r="S1" s="8" t="s">
        <v>6</v>
      </c>
      <c r="T1" s="8" t="s">
        <v>7</v>
      </c>
      <c r="U1" s="8" t="s">
        <v>8</v>
      </c>
      <c r="V1" s="9" t="s">
        <v>9</v>
      </c>
      <c r="W1" s="10" t="s">
        <v>139</v>
      </c>
      <c r="X1" s="10" t="s">
        <v>140</v>
      </c>
      <c r="Y1" s="11" t="s">
        <v>141</v>
      </c>
      <c r="Z1" s="12" t="s">
        <v>142</v>
      </c>
      <c r="AA1" s="12" t="s">
        <v>143</v>
      </c>
      <c r="AB1" s="12" t="s">
        <v>144</v>
      </c>
      <c r="AC1" s="12" t="s">
        <v>145</v>
      </c>
      <c r="AD1" s="12" t="s">
        <v>146</v>
      </c>
    </row>
    <row r="2" spans="1:30" x14ac:dyDescent="0.25">
      <c r="A2" t="s">
        <v>94</v>
      </c>
      <c r="B2" t="s">
        <v>94</v>
      </c>
      <c r="C2" t="s">
        <v>96</v>
      </c>
      <c r="D2" t="s">
        <v>95</v>
      </c>
      <c r="E2" t="s">
        <v>97</v>
      </c>
      <c r="F2" t="s">
        <v>97</v>
      </c>
      <c r="G2" s="16">
        <v>1</v>
      </c>
      <c r="H2" s="3" t="s">
        <v>95</v>
      </c>
      <c r="K2">
        <v>1</v>
      </c>
      <c r="R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5">
      <c r="A3" t="s">
        <v>94</v>
      </c>
      <c r="B3" t="s">
        <v>94</v>
      </c>
      <c r="C3" t="s">
        <v>92</v>
      </c>
      <c r="D3" t="s">
        <v>95</v>
      </c>
      <c r="E3" t="s">
        <v>93</v>
      </c>
      <c r="F3" t="s">
        <v>172</v>
      </c>
      <c r="G3" s="16">
        <v>1</v>
      </c>
      <c r="H3" t="s">
        <v>91</v>
      </c>
      <c r="K3">
        <v>1</v>
      </c>
      <c r="R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5">
      <c r="A4" t="s">
        <v>94</v>
      </c>
      <c r="B4" t="s">
        <v>94</v>
      </c>
      <c r="C4" t="s">
        <v>33</v>
      </c>
      <c r="D4" t="s">
        <v>134</v>
      </c>
      <c r="E4" t="s">
        <v>38</v>
      </c>
      <c r="F4" t="s">
        <v>34</v>
      </c>
      <c r="G4" s="16">
        <v>1</v>
      </c>
      <c r="H4" t="s">
        <v>21</v>
      </c>
      <c r="J4" t="s">
        <v>72</v>
      </c>
      <c r="K4">
        <v>1</v>
      </c>
      <c r="R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5">
      <c r="A5" t="s">
        <v>94</v>
      </c>
      <c r="B5" t="s">
        <v>94</v>
      </c>
      <c r="C5" t="s">
        <v>10</v>
      </c>
      <c r="D5" t="s">
        <v>13</v>
      </c>
      <c r="E5" t="s">
        <v>167</v>
      </c>
      <c r="F5" t="s">
        <v>11</v>
      </c>
      <c r="G5" s="16">
        <v>1</v>
      </c>
      <c r="H5" t="s">
        <v>13</v>
      </c>
      <c r="K5">
        <v>1</v>
      </c>
      <c r="R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s="13" customFormat="1" x14ac:dyDescent="0.25">
      <c r="A6" s="13" t="s">
        <v>94</v>
      </c>
      <c r="B6" s="13" t="s">
        <v>94</v>
      </c>
      <c r="C6" s="13" t="s">
        <v>70</v>
      </c>
      <c r="D6" s="13" t="s">
        <v>135</v>
      </c>
      <c r="E6" s="17" t="s">
        <v>168</v>
      </c>
      <c r="F6" s="13" t="s">
        <v>169</v>
      </c>
      <c r="G6" s="18">
        <v>1</v>
      </c>
      <c r="H6" s="13" t="s">
        <v>21</v>
      </c>
      <c r="J6" s="13" t="s">
        <v>71</v>
      </c>
      <c r="K6" s="13">
        <v>1</v>
      </c>
      <c r="R6" s="13">
        <v>0</v>
      </c>
      <c r="V6" s="13">
        <v>0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</row>
    <row r="7" spans="1:30" x14ac:dyDescent="0.25">
      <c r="A7" t="s">
        <v>147</v>
      </c>
      <c r="B7" t="s">
        <v>147</v>
      </c>
      <c r="C7" s="3" t="s">
        <v>155</v>
      </c>
      <c r="D7" t="s">
        <v>13</v>
      </c>
      <c r="E7" s="3" t="s">
        <v>156</v>
      </c>
      <c r="F7" t="s">
        <v>161</v>
      </c>
      <c r="G7">
        <v>1</v>
      </c>
      <c r="H7" t="s">
        <v>13</v>
      </c>
      <c r="K7">
        <v>1</v>
      </c>
      <c r="R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0" x14ac:dyDescent="0.25">
      <c r="A8" t="s">
        <v>147</v>
      </c>
      <c r="B8" t="s">
        <v>147</v>
      </c>
      <c r="C8" s="3" t="s">
        <v>157</v>
      </c>
      <c r="D8" t="s">
        <v>134</v>
      </c>
      <c r="E8" s="15" t="s">
        <v>158</v>
      </c>
      <c r="F8" t="s">
        <v>162</v>
      </c>
      <c r="G8">
        <v>1</v>
      </c>
      <c r="H8" t="s">
        <v>21</v>
      </c>
      <c r="J8" t="s">
        <v>35</v>
      </c>
      <c r="K8">
        <v>1</v>
      </c>
      <c r="R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x14ac:dyDescent="0.25">
      <c r="A9" t="s">
        <v>147</v>
      </c>
      <c r="B9" t="s">
        <v>147</v>
      </c>
      <c r="C9" s="3" t="s">
        <v>159</v>
      </c>
      <c r="D9" t="s">
        <v>136</v>
      </c>
      <c r="E9" s="15" t="s">
        <v>160</v>
      </c>
      <c r="F9" t="s">
        <v>163</v>
      </c>
      <c r="G9">
        <v>1</v>
      </c>
      <c r="H9" t="s">
        <v>16</v>
      </c>
      <c r="K9">
        <v>1</v>
      </c>
      <c r="R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x14ac:dyDescent="0.25">
      <c r="A10" t="s">
        <v>147</v>
      </c>
      <c r="B10" t="s">
        <v>147</v>
      </c>
      <c r="C10" t="s">
        <v>181</v>
      </c>
      <c r="D10" t="s">
        <v>136</v>
      </c>
      <c r="E10" t="s">
        <v>15</v>
      </c>
      <c r="F10" t="s">
        <v>14</v>
      </c>
      <c r="G10">
        <v>1</v>
      </c>
      <c r="H10" t="s">
        <v>16</v>
      </c>
      <c r="K10">
        <v>1</v>
      </c>
      <c r="M10" t="s">
        <v>86</v>
      </c>
      <c r="N10" t="s">
        <v>174</v>
      </c>
      <c r="R10">
        <v>0</v>
      </c>
      <c r="S10">
        <v>18</v>
      </c>
      <c r="T10">
        <v>100</v>
      </c>
      <c r="U10">
        <v>3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5">
      <c r="A11" t="s">
        <v>147</v>
      </c>
      <c r="B11" t="s">
        <v>147</v>
      </c>
      <c r="C11" s="3" t="s">
        <v>179</v>
      </c>
      <c r="D11" t="s">
        <v>134</v>
      </c>
      <c r="E11" s="15" t="s">
        <v>180</v>
      </c>
      <c r="F11" t="s">
        <v>186</v>
      </c>
      <c r="G11">
        <v>1</v>
      </c>
      <c r="H11" t="s">
        <v>21</v>
      </c>
      <c r="J11" t="s">
        <v>39</v>
      </c>
      <c r="K11">
        <v>1</v>
      </c>
      <c r="R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x14ac:dyDescent="0.25">
      <c r="A12" t="s">
        <v>147</v>
      </c>
      <c r="B12" t="s">
        <v>147</v>
      </c>
      <c r="C12" s="3" t="s">
        <v>183</v>
      </c>
      <c r="D12" t="s">
        <v>134</v>
      </c>
      <c r="E12" s="3" t="s">
        <v>182</v>
      </c>
      <c r="F12" t="s">
        <v>187</v>
      </c>
      <c r="G12">
        <v>1</v>
      </c>
      <c r="H12" t="s">
        <v>21</v>
      </c>
      <c r="J12" t="s">
        <v>190</v>
      </c>
      <c r="K12">
        <v>1</v>
      </c>
      <c r="R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25">
      <c r="A13" t="s">
        <v>147</v>
      </c>
      <c r="B13" t="s">
        <v>147</v>
      </c>
      <c r="C13" s="3" t="s">
        <v>175</v>
      </c>
      <c r="D13" t="s">
        <v>135</v>
      </c>
      <c r="E13" s="3" t="s">
        <v>176</v>
      </c>
      <c r="F13" t="s">
        <v>188</v>
      </c>
      <c r="G13">
        <v>1</v>
      </c>
      <c r="H13" t="s">
        <v>21</v>
      </c>
      <c r="J13" t="s">
        <v>71</v>
      </c>
      <c r="K13">
        <v>1</v>
      </c>
      <c r="R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25">
      <c r="A14" t="s">
        <v>147</v>
      </c>
      <c r="B14" t="s">
        <v>147</v>
      </c>
      <c r="C14" s="3" t="s">
        <v>177</v>
      </c>
      <c r="D14" t="s">
        <v>13</v>
      </c>
      <c r="E14" s="3" t="s">
        <v>178</v>
      </c>
      <c r="F14" t="s">
        <v>189</v>
      </c>
      <c r="G14">
        <v>1</v>
      </c>
      <c r="H14" t="s">
        <v>21</v>
      </c>
      <c r="J14" t="s">
        <v>199</v>
      </c>
      <c r="K14">
        <v>1</v>
      </c>
      <c r="L14" t="s">
        <v>191</v>
      </c>
      <c r="R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25">
      <c r="A15" t="s">
        <v>147</v>
      </c>
      <c r="B15" t="s">
        <v>147</v>
      </c>
      <c r="C15" s="3" t="s">
        <v>164</v>
      </c>
      <c r="D15" t="s">
        <v>135</v>
      </c>
      <c r="E15" s="3" t="s">
        <v>165</v>
      </c>
      <c r="F15" t="s">
        <v>166</v>
      </c>
      <c r="G15">
        <v>1</v>
      </c>
      <c r="H15" t="s">
        <v>21</v>
      </c>
      <c r="J15" t="s">
        <v>71</v>
      </c>
      <c r="K15">
        <v>1</v>
      </c>
      <c r="R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s="13" customFormat="1" x14ac:dyDescent="0.25">
      <c r="A16" s="13" t="s">
        <v>147</v>
      </c>
      <c r="B16" s="13" t="s">
        <v>147</v>
      </c>
      <c r="C16" s="13" t="s">
        <v>23</v>
      </c>
      <c r="D16" s="13" t="s">
        <v>136</v>
      </c>
      <c r="E16" s="13" t="s">
        <v>36</v>
      </c>
      <c r="F16" s="13" t="s">
        <v>24</v>
      </c>
      <c r="G16" s="13">
        <v>1</v>
      </c>
      <c r="H16" s="13" t="s">
        <v>16</v>
      </c>
      <c r="K16" s="13">
        <v>1</v>
      </c>
      <c r="M16" s="13" t="s">
        <v>185</v>
      </c>
      <c r="N16" s="13" t="s">
        <v>184</v>
      </c>
      <c r="R16" s="13">
        <v>0</v>
      </c>
      <c r="S16" s="13">
        <v>0</v>
      </c>
      <c r="T16" s="13">
        <v>100</v>
      </c>
      <c r="U16" s="13">
        <v>3</v>
      </c>
      <c r="V16" s="13">
        <v>0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</row>
    <row r="17" spans="1:30" x14ac:dyDescent="0.25">
      <c r="A17" t="s">
        <v>12</v>
      </c>
      <c r="B17" t="s">
        <v>203</v>
      </c>
      <c r="C17" t="s">
        <v>193</v>
      </c>
      <c r="D17" t="s">
        <v>134</v>
      </c>
      <c r="E17" t="s">
        <v>194</v>
      </c>
      <c r="F17" t="s">
        <v>277</v>
      </c>
      <c r="G17" s="3">
        <v>1</v>
      </c>
      <c r="H17" t="s">
        <v>21</v>
      </c>
      <c r="J17" t="s">
        <v>200</v>
      </c>
      <c r="K17">
        <v>1</v>
      </c>
      <c r="R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25">
      <c r="A18" t="s">
        <v>12</v>
      </c>
      <c r="B18" t="s">
        <v>203</v>
      </c>
      <c r="C18" t="s">
        <v>195</v>
      </c>
      <c r="D18" t="s">
        <v>134</v>
      </c>
      <c r="E18" t="s">
        <v>196</v>
      </c>
      <c r="F18" t="s">
        <v>278</v>
      </c>
      <c r="G18" s="3">
        <v>1</v>
      </c>
      <c r="H18" t="s">
        <v>21</v>
      </c>
      <c r="J18" t="s">
        <v>201</v>
      </c>
      <c r="K18">
        <v>1</v>
      </c>
      <c r="R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25">
      <c r="A19" t="s">
        <v>12</v>
      </c>
      <c r="B19" t="s">
        <v>203</v>
      </c>
      <c r="C19" t="s">
        <v>197</v>
      </c>
      <c r="D19" t="s">
        <v>134</v>
      </c>
      <c r="E19" t="s">
        <v>198</v>
      </c>
      <c r="F19" t="s">
        <v>279</v>
      </c>
      <c r="G19" s="3">
        <v>1</v>
      </c>
      <c r="H19" t="s">
        <v>21</v>
      </c>
      <c r="J19" t="s">
        <v>202</v>
      </c>
      <c r="K19">
        <v>1</v>
      </c>
      <c r="R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x14ac:dyDescent="0.25">
      <c r="A20" t="s">
        <v>12</v>
      </c>
      <c r="B20" t="s">
        <v>203</v>
      </c>
      <c r="C20" s="3" t="s">
        <v>209</v>
      </c>
      <c r="D20" t="s">
        <v>13</v>
      </c>
      <c r="E20" s="3" t="s">
        <v>210</v>
      </c>
      <c r="F20" t="s">
        <v>280</v>
      </c>
      <c r="G20" s="3">
        <v>1</v>
      </c>
      <c r="H20" s="3" t="s">
        <v>211</v>
      </c>
      <c r="K20">
        <v>1</v>
      </c>
      <c r="R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25">
      <c r="A21" t="s">
        <v>12</v>
      </c>
      <c r="B21" t="s">
        <v>203</v>
      </c>
      <c r="C21" s="3" t="s">
        <v>205</v>
      </c>
      <c r="D21" t="s">
        <v>134</v>
      </c>
      <c r="E21" s="3" t="s">
        <v>206</v>
      </c>
      <c r="F21" t="s">
        <v>281</v>
      </c>
      <c r="G21" s="3">
        <v>1</v>
      </c>
      <c r="H21" t="s">
        <v>21</v>
      </c>
      <c r="J21" t="s">
        <v>213</v>
      </c>
      <c r="K21">
        <v>1</v>
      </c>
      <c r="R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25">
      <c r="A22" t="s">
        <v>12</v>
      </c>
      <c r="B22" t="s">
        <v>203</v>
      </c>
      <c r="C22" s="3" t="s">
        <v>207</v>
      </c>
      <c r="D22" t="s">
        <v>13</v>
      </c>
      <c r="E22" s="3" t="s">
        <v>208</v>
      </c>
      <c r="F22" t="s">
        <v>282</v>
      </c>
      <c r="G22" s="3">
        <v>1</v>
      </c>
      <c r="H22" t="s">
        <v>13</v>
      </c>
      <c r="K22">
        <v>1</v>
      </c>
      <c r="L22" s="3" t="s">
        <v>212</v>
      </c>
      <c r="R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25">
      <c r="A23" t="s">
        <v>12</v>
      </c>
      <c r="B23" t="s">
        <v>203</v>
      </c>
      <c r="C23" s="3" t="s">
        <v>215</v>
      </c>
      <c r="D23" t="s">
        <v>134</v>
      </c>
      <c r="E23" s="15" t="s">
        <v>216</v>
      </c>
      <c r="F23" t="s">
        <v>283</v>
      </c>
      <c r="G23" s="3">
        <v>1</v>
      </c>
      <c r="H23" t="s">
        <v>21</v>
      </c>
      <c r="J23" t="s">
        <v>217</v>
      </c>
      <c r="K23">
        <v>1</v>
      </c>
      <c r="R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25">
      <c r="A24" t="s">
        <v>12</v>
      </c>
      <c r="B24" t="s">
        <v>204</v>
      </c>
      <c r="C24" s="3" t="s">
        <v>247</v>
      </c>
      <c r="D24" t="s">
        <v>134</v>
      </c>
      <c r="E24" s="15" t="s">
        <v>248</v>
      </c>
      <c r="F24" t="s">
        <v>284</v>
      </c>
      <c r="G24" s="3">
        <v>1</v>
      </c>
      <c r="H24" t="s">
        <v>21</v>
      </c>
      <c r="I24" s="3" t="s">
        <v>249</v>
      </c>
      <c r="J24" t="s">
        <v>252</v>
      </c>
      <c r="K24">
        <v>1</v>
      </c>
      <c r="R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5">
      <c r="A25" t="s">
        <v>12</v>
      </c>
      <c r="B25" t="s">
        <v>204</v>
      </c>
      <c r="C25" s="3" t="s">
        <v>253</v>
      </c>
      <c r="D25" t="s">
        <v>136</v>
      </c>
      <c r="E25" s="19" t="s">
        <v>254</v>
      </c>
      <c r="F25" t="s">
        <v>285</v>
      </c>
      <c r="G25" s="3">
        <v>1</v>
      </c>
      <c r="H25" t="s">
        <v>16</v>
      </c>
      <c r="K25">
        <v>1</v>
      </c>
      <c r="M25" t="s">
        <v>22</v>
      </c>
      <c r="N25" t="s">
        <v>269</v>
      </c>
      <c r="R25">
        <v>0</v>
      </c>
      <c r="S25">
        <v>1</v>
      </c>
      <c r="T25">
        <v>20</v>
      </c>
      <c r="U25">
        <v>3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25">
      <c r="A26" t="s">
        <v>12</v>
      </c>
      <c r="B26" t="s">
        <v>204</v>
      </c>
      <c r="C26" s="3" t="s">
        <v>255</v>
      </c>
      <c r="D26" t="s">
        <v>135</v>
      </c>
      <c r="E26" s="15" t="s">
        <v>256</v>
      </c>
      <c r="F26" t="s">
        <v>286</v>
      </c>
      <c r="G26" s="3">
        <v>1</v>
      </c>
      <c r="H26" t="s">
        <v>21</v>
      </c>
      <c r="J26" t="s">
        <v>71</v>
      </c>
      <c r="K26">
        <v>1</v>
      </c>
      <c r="R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x14ac:dyDescent="0.25">
      <c r="A27" t="s">
        <v>12</v>
      </c>
      <c r="B27" t="s">
        <v>204</v>
      </c>
      <c r="C27" t="s">
        <v>257</v>
      </c>
      <c r="D27" t="s">
        <v>136</v>
      </c>
      <c r="E27" t="s">
        <v>258</v>
      </c>
      <c r="F27" t="s">
        <v>287</v>
      </c>
      <c r="G27" s="3">
        <v>1</v>
      </c>
      <c r="H27" t="s">
        <v>16</v>
      </c>
      <c r="K27">
        <v>1</v>
      </c>
      <c r="M27" s="3" t="s">
        <v>270</v>
      </c>
      <c r="N27" s="3" t="s">
        <v>271</v>
      </c>
      <c r="R27">
        <v>0</v>
      </c>
      <c r="S27">
        <v>1</v>
      </c>
      <c r="T27">
        <v>20</v>
      </c>
      <c r="U27">
        <v>3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x14ac:dyDescent="0.25">
      <c r="A28" t="s">
        <v>12</v>
      </c>
      <c r="B28" t="s">
        <v>204</v>
      </c>
      <c r="C28" s="3" t="s">
        <v>259</v>
      </c>
      <c r="D28" t="s">
        <v>134</v>
      </c>
      <c r="E28" s="3" t="s">
        <v>260</v>
      </c>
      <c r="F28" t="s">
        <v>288</v>
      </c>
      <c r="G28" s="3">
        <v>1</v>
      </c>
      <c r="H28" t="s">
        <v>21</v>
      </c>
      <c r="J28" t="s">
        <v>272</v>
      </c>
      <c r="K28">
        <v>1</v>
      </c>
      <c r="R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25">
      <c r="A29" t="s">
        <v>12</v>
      </c>
      <c r="B29" t="s">
        <v>204</v>
      </c>
      <c r="C29" t="s">
        <v>261</v>
      </c>
      <c r="D29" t="s">
        <v>13</v>
      </c>
      <c r="E29" s="3" t="s">
        <v>262</v>
      </c>
      <c r="F29" t="s">
        <v>289</v>
      </c>
      <c r="G29" s="3">
        <v>1</v>
      </c>
      <c r="H29" t="s">
        <v>13</v>
      </c>
      <c r="K29">
        <v>1</v>
      </c>
      <c r="L29" s="3" t="s">
        <v>273</v>
      </c>
      <c r="R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25">
      <c r="A30" t="s">
        <v>12</v>
      </c>
      <c r="B30" t="s">
        <v>204</v>
      </c>
      <c r="C30" t="s">
        <v>263</v>
      </c>
      <c r="D30" t="s">
        <v>135</v>
      </c>
      <c r="E30" s="3" t="s">
        <v>264</v>
      </c>
      <c r="F30" t="s">
        <v>290</v>
      </c>
      <c r="G30" s="3">
        <v>1</v>
      </c>
      <c r="H30" t="s">
        <v>21</v>
      </c>
      <c r="J30" t="s">
        <v>71</v>
      </c>
      <c r="K30">
        <v>1</v>
      </c>
      <c r="R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25">
      <c r="A31" t="s">
        <v>12</v>
      </c>
      <c r="B31" t="s">
        <v>204</v>
      </c>
      <c r="C31" t="s">
        <v>265</v>
      </c>
      <c r="D31" t="s">
        <v>135</v>
      </c>
      <c r="E31" s="3" t="s">
        <v>266</v>
      </c>
      <c r="F31" t="s">
        <v>291</v>
      </c>
      <c r="G31" s="3">
        <v>1</v>
      </c>
      <c r="H31" t="s">
        <v>21</v>
      </c>
      <c r="J31" t="s">
        <v>71</v>
      </c>
      <c r="K31">
        <v>1</v>
      </c>
      <c r="R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25">
      <c r="A32" t="s">
        <v>12</v>
      </c>
      <c r="B32" t="s">
        <v>204</v>
      </c>
      <c r="C32" t="s">
        <v>267</v>
      </c>
      <c r="D32" t="s">
        <v>135</v>
      </c>
      <c r="E32" s="3" t="s">
        <v>268</v>
      </c>
      <c r="F32" t="s">
        <v>292</v>
      </c>
      <c r="G32" s="3">
        <v>1</v>
      </c>
      <c r="H32" t="s">
        <v>21</v>
      </c>
      <c r="J32" t="s">
        <v>71</v>
      </c>
      <c r="K32">
        <v>1</v>
      </c>
      <c r="R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</row>
    <row r="33" spans="1:30" x14ac:dyDescent="0.25">
      <c r="A33" t="s">
        <v>12</v>
      </c>
      <c r="B33" t="s">
        <v>204</v>
      </c>
      <c r="C33" s="3" t="s">
        <v>275</v>
      </c>
      <c r="D33" t="s">
        <v>135</v>
      </c>
      <c r="E33" s="15" t="s">
        <v>276</v>
      </c>
      <c r="F33" t="s">
        <v>293</v>
      </c>
      <c r="G33" s="3">
        <v>1</v>
      </c>
      <c r="H33" t="s">
        <v>21</v>
      </c>
      <c r="J33" t="s">
        <v>71</v>
      </c>
      <c r="K33">
        <v>1</v>
      </c>
      <c r="R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1:30" x14ac:dyDescent="0.25">
      <c r="A34" t="s">
        <v>12</v>
      </c>
      <c r="B34" t="s">
        <v>274</v>
      </c>
      <c r="C34" s="3" t="s">
        <v>220</v>
      </c>
      <c r="D34" t="s">
        <v>135</v>
      </c>
      <c r="E34" s="3" t="s">
        <v>221</v>
      </c>
      <c r="F34" t="s">
        <v>294</v>
      </c>
      <c r="G34" s="3">
        <v>1</v>
      </c>
      <c r="H34" t="s">
        <v>21</v>
      </c>
      <c r="J34" t="s">
        <v>71</v>
      </c>
      <c r="K34">
        <v>1</v>
      </c>
      <c r="L34" s="3"/>
      <c r="R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x14ac:dyDescent="0.25">
      <c r="A35" t="s">
        <v>12</v>
      </c>
      <c r="B35" t="s">
        <v>274</v>
      </c>
      <c r="C35" s="3" t="s">
        <v>222</v>
      </c>
      <c r="D35" t="s">
        <v>135</v>
      </c>
      <c r="E35" s="3" t="s">
        <v>223</v>
      </c>
      <c r="F35" t="s">
        <v>295</v>
      </c>
      <c r="G35" s="3">
        <v>1</v>
      </c>
      <c r="H35" t="s">
        <v>21</v>
      </c>
      <c r="J35" t="s">
        <v>71</v>
      </c>
      <c r="K35">
        <v>1</v>
      </c>
      <c r="L35" s="3" t="s">
        <v>234</v>
      </c>
      <c r="R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5">
      <c r="A36" t="s">
        <v>12</v>
      </c>
      <c r="B36" t="s">
        <v>274</v>
      </c>
      <c r="C36" s="3" t="s">
        <v>224</v>
      </c>
      <c r="D36" t="s">
        <v>134</v>
      </c>
      <c r="E36" s="3" t="s">
        <v>225</v>
      </c>
      <c r="F36" t="s">
        <v>296</v>
      </c>
      <c r="G36" s="3">
        <v>1</v>
      </c>
      <c r="H36" t="s">
        <v>21</v>
      </c>
      <c r="J36" t="s">
        <v>242</v>
      </c>
      <c r="K36">
        <v>1</v>
      </c>
      <c r="L36" s="3"/>
      <c r="R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5">
      <c r="A37" t="s">
        <v>12</v>
      </c>
      <c r="B37" t="s">
        <v>274</v>
      </c>
      <c r="C37" s="3" t="s">
        <v>226</v>
      </c>
      <c r="D37" t="s">
        <v>135</v>
      </c>
      <c r="E37" s="3" t="s">
        <v>227</v>
      </c>
      <c r="F37" t="s">
        <v>297</v>
      </c>
      <c r="G37" s="3">
        <v>1</v>
      </c>
      <c r="H37" t="s">
        <v>21</v>
      </c>
      <c r="J37" t="s">
        <v>71</v>
      </c>
      <c r="K37">
        <v>1</v>
      </c>
      <c r="L37" s="3" t="s">
        <v>235</v>
      </c>
      <c r="R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5">
      <c r="A38" t="s">
        <v>12</v>
      </c>
      <c r="B38" t="s">
        <v>274</v>
      </c>
      <c r="C38" t="s">
        <v>228</v>
      </c>
      <c r="D38" t="s">
        <v>135</v>
      </c>
      <c r="E38" s="3" t="s">
        <v>229</v>
      </c>
      <c r="F38" t="s">
        <v>298</v>
      </c>
      <c r="G38" s="3">
        <v>1</v>
      </c>
      <c r="H38" t="s">
        <v>21</v>
      </c>
      <c r="J38" t="s">
        <v>71</v>
      </c>
      <c r="K38">
        <v>1</v>
      </c>
      <c r="L38" s="3" t="s">
        <v>236</v>
      </c>
      <c r="R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1:30" x14ac:dyDescent="0.25">
      <c r="A39" t="s">
        <v>12</v>
      </c>
      <c r="B39" t="s">
        <v>274</v>
      </c>
      <c r="C39" t="s">
        <v>230</v>
      </c>
      <c r="D39" t="s">
        <v>134</v>
      </c>
      <c r="E39" s="3" t="s">
        <v>231</v>
      </c>
      <c r="F39" t="s">
        <v>299</v>
      </c>
      <c r="G39" s="3">
        <v>1</v>
      </c>
      <c r="H39" s="3" t="s">
        <v>106</v>
      </c>
      <c r="J39" t="s">
        <v>241</v>
      </c>
      <c r="K39">
        <v>1</v>
      </c>
      <c r="L39" s="3" t="s">
        <v>237</v>
      </c>
      <c r="R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s="13" customFormat="1" x14ac:dyDescent="0.25">
      <c r="A40" s="13" t="s">
        <v>12</v>
      </c>
      <c r="B40" s="13" t="s">
        <v>274</v>
      </c>
      <c r="C40" s="13" t="s">
        <v>232</v>
      </c>
      <c r="D40" s="13" t="s">
        <v>136</v>
      </c>
      <c r="E40" s="17" t="s">
        <v>233</v>
      </c>
      <c r="F40" s="13" t="s">
        <v>300</v>
      </c>
      <c r="G40" s="17">
        <v>1</v>
      </c>
      <c r="H40" s="17" t="s">
        <v>16</v>
      </c>
      <c r="K40" s="13">
        <v>1</v>
      </c>
      <c r="L40" s="17" t="s">
        <v>238</v>
      </c>
      <c r="M40" s="13" t="s">
        <v>239</v>
      </c>
      <c r="N40" s="13" t="s">
        <v>240</v>
      </c>
      <c r="R40" s="13">
        <v>0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</row>
    <row r="41" spans="1:30" x14ac:dyDescent="0.25">
      <c r="A41" t="s">
        <v>17</v>
      </c>
      <c r="B41" t="s">
        <v>100</v>
      </c>
      <c r="C41" s="3" t="s">
        <v>360</v>
      </c>
      <c r="D41" t="s">
        <v>134</v>
      </c>
      <c r="E41" t="s">
        <v>361</v>
      </c>
      <c r="F41" t="s">
        <v>381</v>
      </c>
      <c r="G41">
        <v>1</v>
      </c>
      <c r="H41" t="s">
        <v>21</v>
      </c>
      <c r="J41" t="s">
        <v>370</v>
      </c>
      <c r="K41">
        <v>1</v>
      </c>
      <c r="M41" t="s">
        <v>374</v>
      </c>
      <c r="N41" t="s">
        <v>375</v>
      </c>
      <c r="R41">
        <v>0</v>
      </c>
      <c r="S41">
        <v>1</v>
      </c>
      <c r="T41">
        <v>10</v>
      </c>
      <c r="U41">
        <v>2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</row>
    <row r="42" spans="1:30" x14ac:dyDescent="0.25">
      <c r="A42" t="s">
        <v>17</v>
      </c>
      <c r="B42" t="s">
        <v>100</v>
      </c>
      <c r="C42" s="3" t="s">
        <v>303</v>
      </c>
      <c r="D42" t="s">
        <v>136</v>
      </c>
      <c r="E42" t="s">
        <v>305</v>
      </c>
      <c r="F42" t="s">
        <v>382</v>
      </c>
      <c r="G42">
        <v>1</v>
      </c>
      <c r="H42" t="s">
        <v>16</v>
      </c>
      <c r="K42">
        <v>1</v>
      </c>
      <c r="M42" t="s">
        <v>18</v>
      </c>
      <c r="N42" t="s">
        <v>371</v>
      </c>
      <c r="R42">
        <v>0</v>
      </c>
      <c r="S42">
        <v>1</v>
      </c>
      <c r="T42">
        <v>10</v>
      </c>
      <c r="U42">
        <v>2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</row>
    <row r="43" spans="1:30" x14ac:dyDescent="0.25">
      <c r="A43" t="s">
        <v>17</v>
      </c>
      <c r="B43" t="s">
        <v>101</v>
      </c>
      <c r="C43" s="3" t="s">
        <v>129</v>
      </c>
      <c r="D43" t="s">
        <v>136</v>
      </c>
      <c r="E43" t="s">
        <v>372</v>
      </c>
      <c r="F43" t="s">
        <v>383</v>
      </c>
      <c r="G43">
        <v>1</v>
      </c>
      <c r="H43" t="s">
        <v>50</v>
      </c>
      <c r="K43">
        <v>1</v>
      </c>
      <c r="L43" s="3"/>
      <c r="O43" s="3" t="s">
        <v>130</v>
      </c>
      <c r="P43" t="s">
        <v>304</v>
      </c>
      <c r="R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25">
      <c r="A44" t="s">
        <v>17</v>
      </c>
      <c r="B44" t="s">
        <v>101</v>
      </c>
      <c r="C44" t="s">
        <v>335</v>
      </c>
      <c r="D44" t="s">
        <v>136</v>
      </c>
      <c r="E44" t="s">
        <v>306</v>
      </c>
      <c r="F44" t="s">
        <v>384</v>
      </c>
      <c r="G44">
        <v>1</v>
      </c>
      <c r="H44" t="s">
        <v>19</v>
      </c>
      <c r="I44" s="20" t="s">
        <v>309</v>
      </c>
      <c r="K44">
        <v>1</v>
      </c>
      <c r="M44" t="s">
        <v>20</v>
      </c>
      <c r="N44" t="s">
        <v>311</v>
      </c>
      <c r="P44" t="s">
        <v>304</v>
      </c>
      <c r="R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</row>
    <row r="45" spans="1:30" x14ac:dyDescent="0.25">
      <c r="A45" t="s">
        <v>17</v>
      </c>
      <c r="B45" t="s">
        <v>101</v>
      </c>
      <c r="C45" t="s">
        <v>25</v>
      </c>
      <c r="D45" t="s">
        <v>134</v>
      </c>
      <c r="E45" t="s">
        <v>307</v>
      </c>
      <c r="F45" t="s">
        <v>385</v>
      </c>
      <c r="G45">
        <v>1</v>
      </c>
      <c r="H45" t="s">
        <v>21</v>
      </c>
      <c r="J45" t="s">
        <v>308</v>
      </c>
      <c r="K45">
        <v>1</v>
      </c>
      <c r="P45" t="s">
        <v>304</v>
      </c>
      <c r="R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</row>
    <row r="46" spans="1:30" x14ac:dyDescent="0.25">
      <c r="A46" t="s">
        <v>17</v>
      </c>
      <c r="B46" t="s">
        <v>101</v>
      </c>
      <c r="C46" t="s">
        <v>315</v>
      </c>
      <c r="D46" t="s">
        <v>13</v>
      </c>
      <c r="E46" t="s">
        <v>317</v>
      </c>
      <c r="F46" t="s">
        <v>386</v>
      </c>
      <c r="G46">
        <v>1</v>
      </c>
      <c r="H46" t="s">
        <v>13</v>
      </c>
      <c r="K46">
        <v>1</v>
      </c>
      <c r="L46" s="3" t="s">
        <v>316</v>
      </c>
      <c r="P46" t="s">
        <v>304</v>
      </c>
      <c r="R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</row>
    <row r="47" spans="1:30" x14ac:dyDescent="0.25">
      <c r="A47" t="s">
        <v>17</v>
      </c>
      <c r="B47" t="s">
        <v>101</v>
      </c>
      <c r="C47" t="s">
        <v>312</v>
      </c>
      <c r="D47" t="s">
        <v>134</v>
      </c>
      <c r="E47" t="s">
        <v>314</v>
      </c>
      <c r="F47" t="s">
        <v>387</v>
      </c>
      <c r="G47">
        <v>1</v>
      </c>
      <c r="H47" t="s">
        <v>50</v>
      </c>
      <c r="K47">
        <v>1</v>
      </c>
      <c r="O47" s="3" t="s">
        <v>313</v>
      </c>
      <c r="P47" t="s">
        <v>304</v>
      </c>
      <c r="R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25">
      <c r="A48" t="s">
        <v>17</v>
      </c>
      <c r="B48" t="s">
        <v>101</v>
      </c>
      <c r="C48" t="s">
        <v>336</v>
      </c>
      <c r="D48" t="s">
        <v>136</v>
      </c>
      <c r="E48" t="s">
        <v>320</v>
      </c>
      <c r="F48" t="s">
        <v>388</v>
      </c>
      <c r="G48">
        <v>1</v>
      </c>
      <c r="H48" t="s">
        <v>50</v>
      </c>
      <c r="K48">
        <v>1</v>
      </c>
      <c r="L48" s="3"/>
      <c r="O48" t="s">
        <v>403</v>
      </c>
      <c r="P48" t="s">
        <v>304</v>
      </c>
      <c r="R48">
        <v>0</v>
      </c>
      <c r="S48">
        <v>0</v>
      </c>
      <c r="T48">
        <v>200</v>
      </c>
      <c r="U48">
        <v>3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5">
      <c r="A49" t="s">
        <v>17</v>
      </c>
      <c r="B49" t="s">
        <v>101</v>
      </c>
      <c r="C49" t="s">
        <v>337</v>
      </c>
      <c r="D49" t="s">
        <v>136</v>
      </c>
      <c r="E49" t="s">
        <v>318</v>
      </c>
      <c r="F49" t="s">
        <v>389</v>
      </c>
      <c r="G49">
        <v>1</v>
      </c>
      <c r="H49" t="s">
        <v>19</v>
      </c>
      <c r="I49" s="20" t="s">
        <v>408</v>
      </c>
      <c r="K49">
        <v>1</v>
      </c>
      <c r="M49" t="s">
        <v>338</v>
      </c>
      <c r="N49" t="s">
        <v>406</v>
      </c>
      <c r="P49" t="s">
        <v>304</v>
      </c>
      <c r="R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</row>
    <row r="50" spans="1:30" x14ac:dyDescent="0.25">
      <c r="A50" t="s">
        <v>17</v>
      </c>
      <c r="B50" t="s">
        <v>101</v>
      </c>
      <c r="C50" t="s">
        <v>339</v>
      </c>
      <c r="D50" t="s">
        <v>136</v>
      </c>
      <c r="E50" t="s">
        <v>319</v>
      </c>
      <c r="F50" t="s">
        <v>390</v>
      </c>
      <c r="G50">
        <v>1</v>
      </c>
      <c r="H50" t="s">
        <v>50</v>
      </c>
      <c r="K50">
        <v>1</v>
      </c>
      <c r="L50" s="3"/>
      <c r="M50" t="s">
        <v>340</v>
      </c>
      <c r="O50" t="s">
        <v>404</v>
      </c>
      <c r="P50" t="s">
        <v>304</v>
      </c>
      <c r="R50">
        <v>0</v>
      </c>
      <c r="S50">
        <v>0</v>
      </c>
      <c r="T50">
        <v>200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0" x14ac:dyDescent="0.25">
      <c r="A51" t="s">
        <v>17</v>
      </c>
      <c r="B51" t="s">
        <v>101</v>
      </c>
      <c r="C51" t="s">
        <v>341</v>
      </c>
      <c r="D51" t="s">
        <v>136</v>
      </c>
      <c r="E51" t="s">
        <v>322</v>
      </c>
      <c r="F51" t="s">
        <v>391</v>
      </c>
      <c r="G51">
        <v>1</v>
      </c>
      <c r="H51" t="s">
        <v>19</v>
      </c>
      <c r="I51" t="s">
        <v>321</v>
      </c>
      <c r="K51">
        <v>1</v>
      </c>
      <c r="M51" t="s">
        <v>342</v>
      </c>
      <c r="N51" t="s">
        <v>407</v>
      </c>
      <c r="P51" t="s">
        <v>304</v>
      </c>
      <c r="R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0" x14ac:dyDescent="0.25">
      <c r="A52" t="s">
        <v>17</v>
      </c>
      <c r="B52" t="s">
        <v>101</v>
      </c>
      <c r="C52" t="s">
        <v>343</v>
      </c>
      <c r="D52" t="s">
        <v>136</v>
      </c>
      <c r="E52" t="s">
        <v>323</v>
      </c>
      <c r="F52" t="s">
        <v>392</v>
      </c>
      <c r="G52">
        <v>1</v>
      </c>
      <c r="H52" t="s">
        <v>50</v>
      </c>
      <c r="K52">
        <v>1</v>
      </c>
      <c r="L52" s="3"/>
      <c r="M52" t="s">
        <v>344</v>
      </c>
      <c r="O52" t="s">
        <v>405</v>
      </c>
      <c r="P52" t="s">
        <v>304</v>
      </c>
      <c r="R52">
        <v>0</v>
      </c>
      <c r="S52">
        <v>0</v>
      </c>
      <c r="T52">
        <v>200</v>
      </c>
      <c r="U52">
        <v>3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0" x14ac:dyDescent="0.25">
      <c r="A53" t="s">
        <v>17</v>
      </c>
      <c r="B53" t="s">
        <v>102</v>
      </c>
      <c r="C53" t="s">
        <v>310</v>
      </c>
      <c r="D53" t="s">
        <v>136</v>
      </c>
      <c r="E53" t="s">
        <v>327</v>
      </c>
      <c r="F53" t="s">
        <v>393</v>
      </c>
      <c r="G53">
        <v>1</v>
      </c>
      <c r="H53" t="s">
        <v>50</v>
      </c>
      <c r="K53">
        <v>1</v>
      </c>
      <c r="M53" s="3" t="s">
        <v>20</v>
      </c>
      <c r="N53" t="s">
        <v>329</v>
      </c>
      <c r="O53" t="s">
        <v>345</v>
      </c>
      <c r="R53">
        <v>0</v>
      </c>
      <c r="S53">
        <v>0</v>
      </c>
      <c r="T53">
        <v>200</v>
      </c>
      <c r="U53">
        <v>3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</row>
    <row r="54" spans="1:30" x14ac:dyDescent="0.25">
      <c r="A54" t="s">
        <v>17</v>
      </c>
      <c r="B54" t="s">
        <v>102</v>
      </c>
      <c r="C54" t="s">
        <v>332</v>
      </c>
      <c r="D54" t="s">
        <v>136</v>
      </c>
      <c r="E54" t="s">
        <v>328</v>
      </c>
      <c r="F54" t="s">
        <v>394</v>
      </c>
      <c r="G54">
        <v>1</v>
      </c>
      <c r="H54" t="s">
        <v>50</v>
      </c>
      <c r="K54">
        <v>1</v>
      </c>
      <c r="L54" s="3"/>
      <c r="M54" t="s">
        <v>331</v>
      </c>
      <c r="N54" t="s">
        <v>330</v>
      </c>
      <c r="O54" t="s">
        <v>346</v>
      </c>
      <c r="R54">
        <v>0</v>
      </c>
      <c r="S54">
        <v>0</v>
      </c>
      <c r="T54">
        <v>200</v>
      </c>
      <c r="U54">
        <v>3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</row>
    <row r="55" spans="1:30" x14ac:dyDescent="0.25">
      <c r="A55" t="s">
        <v>17</v>
      </c>
      <c r="B55" t="s">
        <v>102</v>
      </c>
      <c r="C55" t="s">
        <v>333</v>
      </c>
      <c r="D55" t="s">
        <v>136</v>
      </c>
      <c r="E55" t="s">
        <v>328</v>
      </c>
      <c r="F55" t="s">
        <v>394</v>
      </c>
      <c r="G55">
        <v>1</v>
      </c>
      <c r="H55" t="s">
        <v>50</v>
      </c>
      <c r="K55">
        <v>1</v>
      </c>
      <c r="L55" s="3"/>
      <c r="M55" t="s">
        <v>334</v>
      </c>
      <c r="N55" t="s">
        <v>330</v>
      </c>
      <c r="O55" t="s">
        <v>347</v>
      </c>
      <c r="R55">
        <v>0</v>
      </c>
      <c r="S55">
        <v>0</v>
      </c>
      <c r="T55">
        <v>200</v>
      </c>
      <c r="U55">
        <v>3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</row>
    <row r="56" spans="1:30" x14ac:dyDescent="0.25">
      <c r="A56" t="s">
        <v>17</v>
      </c>
      <c r="B56" t="s">
        <v>102</v>
      </c>
      <c r="C56" t="s">
        <v>348</v>
      </c>
      <c r="D56" t="s">
        <v>137</v>
      </c>
      <c r="E56" t="s">
        <v>349</v>
      </c>
      <c r="F56" t="s">
        <v>395</v>
      </c>
      <c r="G56">
        <v>1</v>
      </c>
      <c r="H56" t="s">
        <v>13</v>
      </c>
      <c r="I56" t="s">
        <v>350</v>
      </c>
      <c r="K56">
        <v>1</v>
      </c>
      <c r="L56" t="s">
        <v>351</v>
      </c>
      <c r="Q56">
        <v>1</v>
      </c>
      <c r="R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</row>
    <row r="57" spans="1:30" x14ac:dyDescent="0.25">
      <c r="A57" t="s">
        <v>17</v>
      </c>
      <c r="B57" t="s">
        <v>102</v>
      </c>
      <c r="C57" t="s">
        <v>355</v>
      </c>
      <c r="D57" t="s">
        <v>137</v>
      </c>
      <c r="E57" t="s">
        <v>356</v>
      </c>
      <c r="F57" t="s">
        <v>396</v>
      </c>
      <c r="G57">
        <v>1</v>
      </c>
      <c r="H57" t="s">
        <v>13</v>
      </c>
      <c r="I57" t="s">
        <v>350</v>
      </c>
      <c r="K57">
        <v>1</v>
      </c>
      <c r="L57" t="s">
        <v>402</v>
      </c>
      <c r="Q57">
        <v>1</v>
      </c>
      <c r="R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</row>
    <row r="58" spans="1:30" x14ac:dyDescent="0.25">
      <c r="A58" t="s">
        <v>17</v>
      </c>
      <c r="B58" t="s">
        <v>102</v>
      </c>
      <c r="C58" t="s">
        <v>352</v>
      </c>
      <c r="D58" t="s">
        <v>137</v>
      </c>
      <c r="E58" t="s">
        <v>353</v>
      </c>
      <c r="F58" t="s">
        <v>397</v>
      </c>
      <c r="G58">
        <v>1</v>
      </c>
      <c r="H58" t="s">
        <v>13</v>
      </c>
      <c r="I58" t="s">
        <v>350</v>
      </c>
      <c r="K58">
        <v>1</v>
      </c>
      <c r="L58" t="s">
        <v>354</v>
      </c>
      <c r="Q58">
        <v>1</v>
      </c>
      <c r="R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1:30" x14ac:dyDescent="0.25">
      <c r="A59" t="s">
        <v>17</v>
      </c>
      <c r="B59" t="s">
        <v>357</v>
      </c>
      <c r="C59" t="s">
        <v>362</v>
      </c>
      <c r="D59" t="s">
        <v>134</v>
      </c>
      <c r="E59" s="3" t="s">
        <v>363</v>
      </c>
      <c r="F59" t="s">
        <v>398</v>
      </c>
      <c r="G59">
        <v>1</v>
      </c>
      <c r="H59" s="3" t="s">
        <v>106</v>
      </c>
      <c r="J59" t="s">
        <v>373</v>
      </c>
      <c r="K59">
        <v>1</v>
      </c>
      <c r="M59" s="3" t="s">
        <v>376</v>
      </c>
      <c r="N59" s="3" t="s">
        <v>377</v>
      </c>
      <c r="R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</row>
    <row r="60" spans="1:30" x14ac:dyDescent="0.25">
      <c r="A60" t="s">
        <v>17</v>
      </c>
      <c r="B60" t="s">
        <v>357</v>
      </c>
      <c r="C60" t="s">
        <v>364</v>
      </c>
      <c r="D60" t="s">
        <v>13</v>
      </c>
      <c r="E60" s="3" t="s">
        <v>365</v>
      </c>
      <c r="F60" t="s">
        <v>399</v>
      </c>
      <c r="G60">
        <v>1</v>
      </c>
      <c r="H60" t="s">
        <v>13</v>
      </c>
      <c r="K60">
        <v>1</v>
      </c>
      <c r="L60" s="3" t="s">
        <v>378</v>
      </c>
      <c r="R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</row>
    <row r="61" spans="1:30" x14ac:dyDescent="0.25">
      <c r="A61" t="s">
        <v>17</v>
      </c>
      <c r="B61" t="s">
        <v>357</v>
      </c>
      <c r="C61" t="s">
        <v>366</v>
      </c>
      <c r="D61" t="s">
        <v>13</v>
      </c>
      <c r="E61" s="3" t="s">
        <v>367</v>
      </c>
      <c r="F61" t="s">
        <v>400</v>
      </c>
      <c r="G61">
        <v>1</v>
      </c>
      <c r="H61" t="s">
        <v>13</v>
      </c>
      <c r="K61">
        <v>1</v>
      </c>
      <c r="L61" s="3" t="s">
        <v>379</v>
      </c>
      <c r="R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r="62" spans="1:30" x14ac:dyDescent="0.25">
      <c r="A62" t="s">
        <v>17</v>
      </c>
      <c r="B62" t="s">
        <v>357</v>
      </c>
      <c r="C62" t="s">
        <v>368</v>
      </c>
      <c r="D62" t="s">
        <v>13</v>
      </c>
      <c r="E62" s="3" t="s">
        <v>369</v>
      </c>
      <c r="F62" t="s">
        <v>401</v>
      </c>
      <c r="G62">
        <v>1</v>
      </c>
      <c r="H62" t="s">
        <v>13</v>
      </c>
      <c r="K62">
        <v>1</v>
      </c>
      <c r="L62" s="3" t="s">
        <v>380</v>
      </c>
      <c r="R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</row>
    <row r="72" spans="1:30" x14ac:dyDescent="0.25">
      <c r="A72" t="s">
        <v>108</v>
      </c>
      <c r="B72" t="s">
        <v>109</v>
      </c>
      <c r="C72" s="3" t="s">
        <v>119</v>
      </c>
      <c r="D72" t="s">
        <v>136</v>
      </c>
      <c r="E72" s="3" t="s">
        <v>120</v>
      </c>
      <c r="F72" s="3" t="s">
        <v>120</v>
      </c>
      <c r="G72">
        <v>0</v>
      </c>
      <c r="H72" t="s">
        <v>16</v>
      </c>
      <c r="K72">
        <v>1</v>
      </c>
      <c r="R72">
        <v>1</v>
      </c>
      <c r="S72">
        <v>1</v>
      </c>
      <c r="T72">
        <v>10000</v>
      </c>
      <c r="U72">
        <v>3</v>
      </c>
      <c r="V72">
        <v>1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</row>
    <row r="73" spans="1:30" x14ac:dyDescent="0.25">
      <c r="A73" t="s">
        <v>108</v>
      </c>
      <c r="B73" t="s">
        <v>109</v>
      </c>
      <c r="C73" s="3" t="s">
        <v>107</v>
      </c>
      <c r="D73" t="s">
        <v>136</v>
      </c>
      <c r="E73" t="s">
        <v>105</v>
      </c>
      <c r="F73" t="s">
        <v>103</v>
      </c>
      <c r="G73">
        <v>0</v>
      </c>
      <c r="H73" t="s">
        <v>106</v>
      </c>
      <c r="J73" t="s">
        <v>104</v>
      </c>
      <c r="K73">
        <v>1</v>
      </c>
      <c r="R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</row>
    <row r="74" spans="1:30" x14ac:dyDescent="0.25">
      <c r="A74" t="s">
        <v>108</v>
      </c>
      <c r="B74" t="s">
        <v>110</v>
      </c>
      <c r="C74" s="3" t="s">
        <v>125</v>
      </c>
      <c r="D74" t="s">
        <v>134</v>
      </c>
      <c r="E74" t="s">
        <v>126</v>
      </c>
      <c r="F74" t="s">
        <v>126</v>
      </c>
      <c r="G74">
        <v>0</v>
      </c>
      <c r="H74" t="s">
        <v>50</v>
      </c>
      <c r="K74">
        <v>1</v>
      </c>
      <c r="O74" t="s">
        <v>131</v>
      </c>
      <c r="P74" t="s">
        <v>116</v>
      </c>
      <c r="R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</row>
    <row r="75" spans="1:30" x14ac:dyDescent="0.25">
      <c r="A75" t="s">
        <v>108</v>
      </c>
      <c r="B75" t="s">
        <v>110</v>
      </c>
      <c r="C75" s="3" t="s">
        <v>117</v>
      </c>
      <c r="D75" t="s">
        <v>136</v>
      </c>
      <c r="E75" s="3" t="s">
        <v>127</v>
      </c>
      <c r="F75" s="3" t="s">
        <v>127</v>
      </c>
      <c r="G75">
        <v>0</v>
      </c>
      <c r="H75" t="s">
        <v>16</v>
      </c>
      <c r="K75">
        <v>1</v>
      </c>
      <c r="M75" s="3" t="s">
        <v>20</v>
      </c>
      <c r="N75" t="s">
        <v>132</v>
      </c>
      <c r="P75" t="s">
        <v>116</v>
      </c>
      <c r="R75">
        <v>1</v>
      </c>
      <c r="S75">
        <v>0</v>
      </c>
      <c r="T75">
        <v>100</v>
      </c>
      <c r="U75">
        <v>3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</row>
    <row r="76" spans="1:30" x14ac:dyDescent="0.25">
      <c r="A76" t="s">
        <v>108</v>
      </c>
      <c r="B76" t="s">
        <v>111</v>
      </c>
      <c r="C76" s="5" t="s">
        <v>118</v>
      </c>
      <c r="D76" t="s">
        <v>136</v>
      </c>
      <c r="E76" s="3" t="s">
        <v>122</v>
      </c>
      <c r="F76" s="3" t="s">
        <v>122</v>
      </c>
      <c r="G76">
        <v>0</v>
      </c>
      <c r="H76" t="s">
        <v>50</v>
      </c>
      <c r="K76">
        <v>1</v>
      </c>
      <c r="M76" s="3" t="s">
        <v>20</v>
      </c>
      <c r="O76" t="s">
        <v>121</v>
      </c>
      <c r="R76">
        <v>1</v>
      </c>
      <c r="S76">
        <v>50</v>
      </c>
      <c r="T76">
        <v>150</v>
      </c>
      <c r="U76">
        <v>3</v>
      </c>
      <c r="V76">
        <v>1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</row>
    <row r="77" spans="1:30" x14ac:dyDescent="0.25">
      <c r="A77" t="s">
        <v>108</v>
      </c>
      <c r="B77" t="s">
        <v>111</v>
      </c>
      <c r="C77" t="s">
        <v>128</v>
      </c>
      <c r="D77" t="s">
        <v>137</v>
      </c>
      <c r="E77" t="s">
        <v>51</v>
      </c>
      <c r="F77" t="s">
        <v>52</v>
      </c>
      <c r="G77">
        <v>0</v>
      </c>
      <c r="H77" t="s">
        <v>13</v>
      </c>
      <c r="K77">
        <v>1</v>
      </c>
      <c r="L77" s="5" t="s">
        <v>124</v>
      </c>
      <c r="N77" t="s">
        <v>133</v>
      </c>
      <c r="Q77">
        <v>1</v>
      </c>
      <c r="R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</row>
    <row r="78" spans="1:30" x14ac:dyDescent="0.25">
      <c r="A78" t="s">
        <v>90</v>
      </c>
      <c r="B78" t="s">
        <v>90</v>
      </c>
      <c r="C78" t="s">
        <v>170</v>
      </c>
      <c r="D78" t="s">
        <v>95</v>
      </c>
      <c r="E78" t="s">
        <v>171</v>
      </c>
      <c r="F78" t="s">
        <v>171</v>
      </c>
      <c r="G78">
        <v>1</v>
      </c>
      <c r="H78" t="s">
        <v>173</v>
      </c>
      <c r="K78">
        <v>1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</row>
    <row r="79" spans="1:30" x14ac:dyDescent="0.25">
      <c r="A79" t="s">
        <v>90</v>
      </c>
      <c r="B79" t="s">
        <v>90</v>
      </c>
      <c r="C79" t="s">
        <v>31</v>
      </c>
      <c r="D79" t="s">
        <v>136</v>
      </c>
      <c r="E79" t="s">
        <v>37</v>
      </c>
      <c r="F79" t="s">
        <v>32</v>
      </c>
      <c r="G79">
        <v>0</v>
      </c>
      <c r="H79" t="s">
        <v>16</v>
      </c>
      <c r="K79">
        <v>1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variables_master</vt:lpstr>
      <vt:lpstr>sections</vt:lpstr>
      <vt:lpstr>variables_master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Raquel Zapata</dc:creator>
  <cp:lastModifiedBy>Raquel Sofía Zapata Valencia</cp:lastModifiedBy>
  <dcterms:created xsi:type="dcterms:W3CDTF">2026-07-26T23:46:52Z</dcterms:created>
  <dcterms:modified xsi:type="dcterms:W3CDTF">2026-09-16T19:02:37Z</dcterms:modified>
</cp:coreProperties>
</file>